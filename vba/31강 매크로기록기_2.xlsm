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0CE1B96E-40F4-4E34-99FC-FE9640532D78}" xr6:coauthVersionLast="47" xr6:coauthVersionMax="47" xr10:uidLastSave="{00000000-0000-0000-0000-000000000000}"/>
  <bookViews>
    <workbookView xWindow="8220" yWindow="6912" windowWidth="14016" windowHeight="10716" firstSheet="3" activeTab="3" xr2:uid="{00000000-000D-0000-FFFF-FFFF00000000}"/>
  </bookViews>
  <sheets>
    <sheet name="매크로기록기란" sheetId="9" r:id="rId1"/>
    <sheet name="매크로기록하기(정렬하기)" sheetId="1" r:id="rId2"/>
    <sheet name="매크로기록하기(필터링하기)" sheetId="6" r:id="rId3"/>
    <sheet name="과제물1" sheetId="3" r:id="rId4"/>
    <sheet name="과제물2" sheetId="11" r:id="rId5"/>
  </sheets>
  <definedNames>
    <definedName name="_xlnm._FilterDatabase" localSheetId="4" hidden="1">과제물2!$B$4:$F$27</definedName>
    <definedName name="_xlnm._FilterDatabase" localSheetId="2" hidden="1">'매크로기록하기(필터링하기)'!$B$5:$F$28</definedName>
    <definedName name="_xlnm.Criteria">과제물2!$B$4</definedName>
    <definedName name="_xlnm.Extract" localSheetId="2">'매크로기록하기(필터링하기)'!$H$6:$J$6</definedName>
    <definedName name="과제물2">OFFSET(과제물2!$B$4,1,0,COUNTA(과제물2!$B:$B)+과제물2!$B:$B-1,5)</definedName>
    <definedName name="리스트" localSheetId="3">OFFSET(과제물1!$B$4,1,0,COUNTA(과제물1!$B:$B)-1,5)</definedName>
    <definedName name="리스트" localSheetId="4">OFFSET(과제물2!$B$4,1,0,COUNTA(과제물2!$B:$B)-1,5)</definedName>
    <definedName name="리스트" localSheetId="0">OFFSET(매크로기록기란!$B$2,1,0,COUNTA(매크로기록기란!$B:$B)-1,5)</definedName>
    <definedName name="리스트" localSheetId="2">OFFSET('매크로기록하기(필터링하기)'!$B$5,1,0,COUNTA('매크로기록하기(필터링하기)'!$B:$B)-1,5)</definedName>
    <definedName name="리스트">OFFSET('매크로기록하기(정렬하기)'!$B$4,1,0,COUNTA('매크로기록하기(정렬하기)'!$B:$B)-1,5)</definedName>
    <definedName name="수식1">과제물2!$E$10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11" l="1"/>
  <c r="Q3" i="11"/>
  <c r="J5" i="6"/>
</calcChain>
</file>

<file path=xl/sharedStrings.xml><?xml version="1.0" encoding="utf-8"?>
<sst xmlns="http://schemas.openxmlformats.org/spreadsheetml/2006/main" count="419" uniqueCount="50">
  <si>
    <t>날짜</t>
  </si>
  <si>
    <t>월</t>
  </si>
  <si>
    <t>거래유형</t>
  </si>
  <si>
    <t>금액</t>
  </si>
  <si>
    <t>교재비</t>
  </si>
  <si>
    <t>카드</t>
  </si>
  <si>
    <t>차량유지</t>
  </si>
  <si>
    <t>현금</t>
  </si>
  <si>
    <t>식비</t>
  </si>
  <si>
    <t>사무용품</t>
  </si>
  <si>
    <t>소모품비</t>
  </si>
  <si>
    <t>임대료</t>
  </si>
  <si>
    <t>복리후생비</t>
  </si>
  <si>
    <t>지출항목</t>
    <phoneticPr fontId="1" type="noConversion"/>
  </si>
  <si>
    <t>1월</t>
    <phoneticPr fontId="1" type="noConversion"/>
  </si>
  <si>
    <t>2월</t>
    <phoneticPr fontId="1" type="noConversion"/>
  </si>
  <si>
    <t>2. 월별 오름차순, 거래유형별 오름차순, 금액별 내림차순으로 정렬하기 (매크로 기록)</t>
    <phoneticPr fontId="1" type="noConversion"/>
  </si>
  <si>
    <t>1. 날짜를 기준으로 최근이 위로 올라오도록 매크로 기록기로 정렬하기 (매크로 기록)</t>
    <phoneticPr fontId="1" type="noConversion"/>
  </si>
  <si>
    <t>3. 만들어진 매크로를 아래 두개의 버튼에 연결하여 실행 확인하기</t>
    <phoneticPr fontId="1" type="noConversion"/>
  </si>
  <si>
    <t>월</t>
    <phoneticPr fontId="1" type="noConversion"/>
  </si>
  <si>
    <t>합계금액</t>
    <phoneticPr fontId="1" type="noConversion"/>
  </si>
  <si>
    <t>거래유형</t>
    <phoneticPr fontId="1" type="noConversion"/>
  </si>
  <si>
    <t>거래유형</t>
    <phoneticPr fontId="1" type="noConversion"/>
  </si>
  <si>
    <t>금액</t>
    <phoneticPr fontId="1" type="noConversion"/>
  </si>
  <si>
    <t>이상</t>
  </si>
  <si>
    <t>적용색상</t>
    <phoneticPr fontId="1" type="noConversion"/>
  </si>
  <si>
    <t>1월</t>
  </si>
  <si>
    <t>자격증 취득을 위해서 무작정 따라하지만 ㅋㅋ 왜? 어디에 쓰는데? 라는 의문이 있었죠 ^^</t>
    <phoneticPr fontId="1" type="noConversion"/>
  </si>
  <si>
    <t>VBA는 IF문,FOR문,Userform,Event,DB연동,웹크롤링 등의 복잡한 로직의 구성을 위해서는 꼭 배워야 하지만</t>
    <phoneticPr fontId="1" type="noConversion"/>
  </si>
  <si>
    <t>1. B2:F2 셀에 노랑색을 넣는 매크로 기록</t>
    <phoneticPr fontId="1" type="noConversion"/>
  </si>
  <si>
    <t>2. 15행과 16행 사이 행 삽입 매크로 기록</t>
    <phoneticPr fontId="1" type="noConversion"/>
  </si>
  <si>
    <t>3. 16행에 2020-01-14 , 1월, 식비, 카드, 30,000 데이터 입력 매크로 기록</t>
    <phoneticPr fontId="1" type="noConversion"/>
  </si>
  <si>
    <t>4. 테두리를 넣는 매크로 기록(바깥선은 두껍게)</t>
    <phoneticPr fontId="1" type="noConversion"/>
  </si>
  <si>
    <t>5. 1~4 매크로를 한번에 실행하도록 수정</t>
    <phoneticPr fontId="1" type="noConversion"/>
  </si>
  <si>
    <t>매크로 기록은 컴퓨터활용능력2급 실기시험에 등장하는 내용입니다.</t>
    <phoneticPr fontId="1" type="noConversion"/>
  </si>
  <si>
    <t>기본적이고 단순한 기능은 매크로는 기록기로 기록하여 사용해도 됩니다 ^^</t>
    <phoneticPr fontId="1" type="noConversion"/>
  </si>
  <si>
    <t>1. H3셀과 I3셀의 조건에 맞게 H7 셀에 필터링</t>
    <phoneticPr fontId="1" type="noConversion"/>
  </si>
  <si>
    <t>2. 필터링 버튼에 매크로 연결</t>
    <phoneticPr fontId="1" type="noConversion"/>
  </si>
  <si>
    <t>매크로 기록기가 독이 되는 경우</t>
    <phoneticPr fontId="1" type="noConversion"/>
  </si>
  <si>
    <t>매크로 기록기가 득이 되는 경우</t>
    <phoneticPr fontId="1" type="noConversion"/>
  </si>
  <si>
    <t>단, 매크로 기록기가 득이 되기도 하지만 독이 되기도 합니다.</t>
    <phoneticPr fontId="1" type="noConversion"/>
  </si>
  <si>
    <t>2월</t>
  </si>
  <si>
    <t>매크로 기록기와 편집으로 만들어 보세요</t>
    <phoneticPr fontId="1" type="noConversion"/>
  </si>
  <si>
    <t>버튼 클릭 시 해당월의 날짜별 금액의 꺽은선 차트 새성</t>
    <phoneticPr fontId="1" type="noConversion"/>
  </si>
  <si>
    <t>아래 "H10:O20" 범위에 맞게 생성</t>
    <phoneticPr fontId="1" type="noConversion"/>
  </si>
  <si>
    <t>각 차트는 원하는 차트 스타일을 적용</t>
    <phoneticPr fontId="1" type="noConversion"/>
  </si>
  <si>
    <t>추가 : 데이터 동적범위 이름정의로 사용</t>
    <phoneticPr fontId="1" type="noConversion"/>
  </si>
  <si>
    <t>매크로 기록기로 쉽지 않은 경우입니다 (Interior, Colorindex, IF, And, For~Next, Union, Resize 등 사용하면서 꼭! 복습해 보세요)</t>
    <phoneticPr fontId="1" type="noConversion"/>
  </si>
  <si>
    <t>2월개수</t>
    <phoneticPr fontId="1" type="noConversion"/>
  </si>
  <si>
    <t>1월개수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</si>
</sst>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&quot;월&quot;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0" fillId="0" borderId="1" xfId="0" applyNumberFormat="1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/>
    </xf>
    <xf numFmtId="41" fontId="5" fillId="0" borderId="6" xfId="1" applyFont="1" applyFill="1" applyBorder="1">
      <alignment vertical="center"/>
    </xf>
    <xf numFmtId="14" fontId="5" fillId="0" borderId="7" xfId="0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41" fontId="5" fillId="0" borderId="9" xfId="1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7" fillId="0" borderId="10" xfId="0" applyFont="1" applyBorder="1">
      <alignment vertical="center"/>
    </xf>
    <xf numFmtId="0" fontId="7" fillId="0" borderId="13" xfId="0" applyFont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9</xdr:row>
          <xdr:rowOff>22860</xdr:rowOff>
        </xdr:from>
        <xdr:to>
          <xdr:col>9</xdr:col>
          <xdr:colOff>327660</xdr:colOff>
          <xdr:row>10</xdr:row>
          <xdr:rowOff>190500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 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11</xdr:row>
          <xdr:rowOff>38100</xdr:rowOff>
        </xdr:from>
        <xdr:to>
          <xdr:col>8</xdr:col>
          <xdr:colOff>556260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정렬_1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167640</xdr:colOff>
          <xdr:row>11</xdr:row>
          <xdr:rowOff>38100</xdr:rowOff>
        </xdr:from>
        <xdr:to>
          <xdr:col>10</xdr:col>
          <xdr:colOff>609600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정렬_2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1</xdr:row>
          <xdr:rowOff>38100</xdr:rowOff>
        </xdr:from>
        <xdr:to>
          <xdr:col>9</xdr:col>
          <xdr:colOff>1386840</xdr:colOff>
          <xdr:row>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필터링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11</xdr:row>
          <xdr:rowOff>175260</xdr:rowOff>
        </xdr:from>
        <xdr:to>
          <xdr:col>10</xdr:col>
          <xdr:colOff>137160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조건을 만족하는 행의 색 변경하기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6</xdr:row>
          <xdr:rowOff>137160</xdr:rowOff>
        </xdr:from>
        <xdr:to>
          <xdr:col>12</xdr:col>
          <xdr:colOff>830580</xdr:colOff>
          <xdr:row>8</xdr:row>
          <xdr:rowOff>106680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1월 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297180</xdr:colOff>
          <xdr:row>6</xdr:row>
          <xdr:rowOff>137160</xdr:rowOff>
        </xdr:from>
        <xdr:to>
          <xdr:col>14</xdr:col>
          <xdr:colOff>495300</xdr:colOff>
          <xdr:row>8</xdr:row>
          <xdr:rowOff>106680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2월 차트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H33"/>
  <sheetViews>
    <sheetView showGridLines="0" zoomScale="85" zoomScaleNormal="85" workbookViewId="0">
      <selection activeCell="B2" sqref="B2"/>
    </sheetView>
  </sheetViews>
  <sheetFormatPr defaultColWidth="9" defaultRowHeight="19.2" x14ac:dyDescent="0.4"/>
  <cols>
    <col min="1" max="1" width="9" style="7"/>
    <col min="2" max="2" width="15.796875" style="7" customWidth="1"/>
    <col min="3" max="3" width="12" style="7" customWidth="1"/>
    <col min="4" max="4" width="16.09765625" style="7" customWidth="1"/>
    <col min="5" max="5" width="16.796875" style="7" customWidth="1"/>
    <col min="6" max="6" width="14.09765625" style="7" customWidth="1"/>
    <col min="7" max="16384" width="9" style="7"/>
  </cols>
  <sheetData>
    <row r="1" spans="2:8" ht="19.8" thickBot="1" x14ac:dyDescent="0.45"/>
    <row r="2" spans="2:8" x14ac:dyDescent="0.4">
      <c r="B2" s="24" t="s">
        <v>0</v>
      </c>
      <c r="C2" s="25" t="s">
        <v>1</v>
      </c>
      <c r="D2" s="25" t="s">
        <v>13</v>
      </c>
      <c r="E2" s="25" t="s">
        <v>2</v>
      </c>
      <c r="F2" s="26" t="s">
        <v>3</v>
      </c>
    </row>
    <row r="3" spans="2:8" ht="23.25" customHeight="1" x14ac:dyDescent="0.4">
      <c r="B3" s="27">
        <v>43831</v>
      </c>
      <c r="C3" s="22" t="s">
        <v>14</v>
      </c>
      <c r="D3" s="23" t="s">
        <v>4</v>
      </c>
      <c r="E3" s="23" t="s">
        <v>5</v>
      </c>
      <c r="F3" s="28">
        <v>29000</v>
      </c>
      <c r="H3" s="8" t="s">
        <v>29</v>
      </c>
    </row>
    <row r="4" spans="2:8" ht="23.25" customHeight="1" x14ac:dyDescent="0.4">
      <c r="B4" s="27">
        <v>43832</v>
      </c>
      <c r="C4" s="22" t="s">
        <v>14</v>
      </c>
      <c r="D4" s="23" t="s">
        <v>6</v>
      </c>
      <c r="E4" s="23" t="s">
        <v>7</v>
      </c>
      <c r="F4" s="28">
        <v>24230</v>
      </c>
      <c r="H4" s="8" t="s">
        <v>30</v>
      </c>
    </row>
    <row r="5" spans="2:8" ht="23.25" customHeight="1" x14ac:dyDescent="0.4">
      <c r="B5" s="27">
        <v>43833</v>
      </c>
      <c r="C5" s="22" t="s">
        <v>14</v>
      </c>
      <c r="D5" s="23" t="s">
        <v>8</v>
      </c>
      <c r="E5" s="23" t="s">
        <v>7</v>
      </c>
      <c r="F5" s="28">
        <v>52240</v>
      </c>
      <c r="H5" s="8" t="s">
        <v>31</v>
      </c>
    </row>
    <row r="6" spans="2:8" ht="23.25" customHeight="1" x14ac:dyDescent="0.4">
      <c r="B6" s="27">
        <v>43834</v>
      </c>
      <c r="C6" s="22" t="s">
        <v>14</v>
      </c>
      <c r="D6" s="23" t="s">
        <v>9</v>
      </c>
      <c r="E6" s="23" t="s">
        <v>5</v>
      </c>
      <c r="F6" s="28">
        <v>6560</v>
      </c>
      <c r="H6" s="8" t="s">
        <v>32</v>
      </c>
    </row>
    <row r="7" spans="2:8" ht="23.25" customHeight="1" x14ac:dyDescent="0.4">
      <c r="B7" s="27">
        <v>43835</v>
      </c>
      <c r="C7" s="22" t="s">
        <v>14</v>
      </c>
      <c r="D7" s="23" t="s">
        <v>10</v>
      </c>
      <c r="E7" s="23" t="s">
        <v>7</v>
      </c>
      <c r="F7" s="28">
        <v>11380</v>
      </c>
      <c r="H7" s="8" t="s">
        <v>33</v>
      </c>
    </row>
    <row r="8" spans="2:8" ht="23.25" customHeight="1" x14ac:dyDescent="0.4">
      <c r="B8" s="27">
        <v>43836</v>
      </c>
      <c r="C8" s="22" t="s">
        <v>14</v>
      </c>
      <c r="D8" s="23" t="s">
        <v>11</v>
      </c>
      <c r="E8" s="23" t="s">
        <v>5</v>
      </c>
      <c r="F8" s="28">
        <v>50380</v>
      </c>
    </row>
    <row r="9" spans="2:8" ht="23.25" customHeight="1" x14ac:dyDescent="0.4">
      <c r="B9" s="27">
        <v>43837</v>
      </c>
      <c r="C9" s="22" t="s">
        <v>14</v>
      </c>
      <c r="D9" s="23" t="s">
        <v>12</v>
      </c>
      <c r="E9" s="23" t="s">
        <v>5</v>
      </c>
      <c r="F9" s="28">
        <v>51320</v>
      </c>
    </row>
    <row r="10" spans="2:8" ht="23.25" customHeight="1" x14ac:dyDescent="0.4">
      <c r="B10" s="27">
        <v>43838</v>
      </c>
      <c r="C10" s="22" t="s">
        <v>14</v>
      </c>
      <c r="D10" s="23" t="s">
        <v>8</v>
      </c>
      <c r="E10" s="23" t="s">
        <v>7</v>
      </c>
      <c r="F10" s="28">
        <v>29250</v>
      </c>
    </row>
    <row r="11" spans="2:8" ht="23.25" customHeight="1" x14ac:dyDescent="0.4">
      <c r="B11" s="27">
        <v>43839</v>
      </c>
      <c r="C11" s="22" t="s">
        <v>14</v>
      </c>
      <c r="D11" s="23" t="s">
        <v>6</v>
      </c>
      <c r="E11" s="23" t="s">
        <v>5</v>
      </c>
      <c r="F11" s="28">
        <v>28880</v>
      </c>
    </row>
    <row r="12" spans="2:8" ht="23.25" customHeight="1" x14ac:dyDescent="0.4">
      <c r="B12" s="27">
        <v>43840</v>
      </c>
      <c r="C12" s="22" t="s">
        <v>14</v>
      </c>
      <c r="D12" s="23" t="s">
        <v>4</v>
      </c>
      <c r="E12" s="23" t="s">
        <v>5</v>
      </c>
      <c r="F12" s="28">
        <v>4200</v>
      </c>
    </row>
    <row r="13" spans="2:8" ht="23.25" customHeight="1" x14ac:dyDescent="0.4">
      <c r="B13" s="27">
        <v>43841</v>
      </c>
      <c r="C13" s="22" t="s">
        <v>14</v>
      </c>
      <c r="D13" s="23" t="s">
        <v>9</v>
      </c>
      <c r="E13" s="23" t="s">
        <v>7</v>
      </c>
      <c r="F13" s="28">
        <v>61030</v>
      </c>
    </row>
    <row r="14" spans="2:8" ht="23.25" customHeight="1" x14ac:dyDescent="0.4">
      <c r="B14" s="27">
        <v>43842</v>
      </c>
      <c r="C14" s="22" t="s">
        <v>14</v>
      </c>
      <c r="D14" s="23" t="s">
        <v>11</v>
      </c>
      <c r="E14" s="23" t="s">
        <v>7</v>
      </c>
      <c r="F14" s="28">
        <v>21290</v>
      </c>
    </row>
    <row r="15" spans="2:8" ht="23.25" customHeight="1" x14ac:dyDescent="0.4">
      <c r="B15" s="27">
        <v>43843</v>
      </c>
      <c r="C15" s="22" t="s">
        <v>14</v>
      </c>
      <c r="D15" s="23" t="s">
        <v>6</v>
      </c>
      <c r="E15" s="23" t="s">
        <v>5</v>
      </c>
      <c r="F15" s="28">
        <v>44170</v>
      </c>
    </row>
    <row r="16" spans="2:8" ht="23.25" customHeight="1" x14ac:dyDescent="0.4">
      <c r="B16" s="27">
        <v>43844</v>
      </c>
      <c r="C16" s="22" t="s">
        <v>26</v>
      </c>
      <c r="D16" s="23" t="s">
        <v>8</v>
      </c>
      <c r="E16" s="23" t="s">
        <v>5</v>
      </c>
      <c r="F16" s="28">
        <v>30000</v>
      </c>
    </row>
    <row r="17" spans="2:6" ht="23.25" customHeight="1" x14ac:dyDescent="0.4">
      <c r="B17" s="27">
        <v>43844</v>
      </c>
      <c r="C17" s="22" t="s">
        <v>26</v>
      </c>
      <c r="D17" s="23" t="s">
        <v>8</v>
      </c>
      <c r="E17" s="23" t="s">
        <v>5</v>
      </c>
      <c r="F17" s="28">
        <v>30000</v>
      </c>
    </row>
    <row r="18" spans="2:6" ht="23.25" customHeight="1" x14ac:dyDescent="0.4">
      <c r="B18" s="27">
        <v>43862</v>
      </c>
      <c r="C18" s="22" t="s">
        <v>15</v>
      </c>
      <c r="D18" s="23" t="s">
        <v>6</v>
      </c>
      <c r="E18" s="23" t="s">
        <v>5</v>
      </c>
      <c r="F18" s="28">
        <v>47090</v>
      </c>
    </row>
    <row r="19" spans="2:6" ht="23.25" customHeight="1" x14ac:dyDescent="0.4">
      <c r="B19" s="27">
        <v>43863</v>
      </c>
      <c r="C19" s="22" t="s">
        <v>15</v>
      </c>
      <c r="D19" s="23" t="s">
        <v>8</v>
      </c>
      <c r="E19" s="23" t="s">
        <v>7</v>
      </c>
      <c r="F19" s="28">
        <v>21870</v>
      </c>
    </row>
    <row r="20" spans="2:6" ht="23.25" customHeight="1" x14ac:dyDescent="0.4">
      <c r="B20" s="27">
        <v>43864</v>
      </c>
      <c r="C20" s="22" t="s">
        <v>15</v>
      </c>
      <c r="D20" s="23" t="s">
        <v>12</v>
      </c>
      <c r="E20" s="23" t="s">
        <v>7</v>
      </c>
      <c r="F20" s="28">
        <v>10860</v>
      </c>
    </row>
    <row r="21" spans="2:6" ht="23.25" customHeight="1" x14ac:dyDescent="0.4">
      <c r="B21" s="27">
        <v>43865</v>
      </c>
      <c r="C21" s="22" t="s">
        <v>15</v>
      </c>
      <c r="D21" s="23" t="s">
        <v>10</v>
      </c>
      <c r="E21" s="23" t="s">
        <v>7</v>
      </c>
      <c r="F21" s="28">
        <v>40610</v>
      </c>
    </row>
    <row r="22" spans="2:6" ht="23.25" customHeight="1" x14ac:dyDescent="0.4">
      <c r="B22" s="27">
        <v>43866</v>
      </c>
      <c r="C22" s="22" t="s">
        <v>15</v>
      </c>
      <c r="D22" s="23" t="s">
        <v>11</v>
      </c>
      <c r="E22" s="23" t="s">
        <v>7</v>
      </c>
      <c r="F22" s="28">
        <v>13850</v>
      </c>
    </row>
    <row r="23" spans="2:6" ht="23.25" customHeight="1" x14ac:dyDescent="0.4">
      <c r="B23" s="27">
        <v>43867</v>
      </c>
      <c r="C23" s="22" t="s">
        <v>15</v>
      </c>
      <c r="D23" s="23" t="s">
        <v>8</v>
      </c>
      <c r="E23" s="23" t="s">
        <v>7</v>
      </c>
      <c r="F23" s="28">
        <v>4960</v>
      </c>
    </row>
    <row r="24" spans="2:6" ht="23.25" customHeight="1" x14ac:dyDescent="0.4">
      <c r="B24" s="27">
        <v>43868</v>
      </c>
      <c r="C24" s="22" t="s">
        <v>15</v>
      </c>
      <c r="D24" s="23" t="s">
        <v>10</v>
      </c>
      <c r="E24" s="23" t="s">
        <v>7</v>
      </c>
      <c r="F24" s="28">
        <v>12530</v>
      </c>
    </row>
    <row r="25" spans="2:6" ht="27" customHeight="1" x14ac:dyDescent="0.4">
      <c r="B25" s="27">
        <v>43869</v>
      </c>
      <c r="C25" s="22" t="s">
        <v>15</v>
      </c>
      <c r="D25" s="23" t="s">
        <v>11</v>
      </c>
      <c r="E25" s="23" t="s">
        <v>7</v>
      </c>
      <c r="F25" s="28">
        <v>7435.8333333333303</v>
      </c>
    </row>
    <row r="26" spans="2:6" ht="28.5" customHeight="1" x14ac:dyDescent="0.4">
      <c r="B26" s="27">
        <v>43870</v>
      </c>
      <c r="C26" s="22" t="s">
        <v>15</v>
      </c>
      <c r="D26" s="23" t="s">
        <v>6</v>
      </c>
      <c r="E26" s="23" t="s">
        <v>5</v>
      </c>
      <c r="F26" s="28">
        <v>4095.6666666667302</v>
      </c>
    </row>
    <row r="27" spans="2:6" ht="19.8" thickBot="1" x14ac:dyDescent="0.45">
      <c r="B27" s="29">
        <v>43871</v>
      </c>
      <c r="C27" s="30" t="s">
        <v>15</v>
      </c>
      <c r="D27" s="31" t="s">
        <v>6</v>
      </c>
      <c r="E27" s="31" t="s">
        <v>5</v>
      </c>
      <c r="F27" s="32">
        <v>755.50000000002899</v>
      </c>
    </row>
    <row r="29" spans="2:6" ht="21" x14ac:dyDescent="0.4">
      <c r="B29" s="15" t="s">
        <v>34</v>
      </c>
    </row>
    <row r="30" spans="2:6" ht="21" x14ac:dyDescent="0.4">
      <c r="B30" s="15" t="s">
        <v>27</v>
      </c>
    </row>
    <row r="31" spans="2:6" ht="21" x14ac:dyDescent="0.4">
      <c r="B31" s="15" t="s">
        <v>28</v>
      </c>
    </row>
    <row r="32" spans="2:6" ht="21" x14ac:dyDescent="0.4">
      <c r="B32" s="15" t="s">
        <v>35</v>
      </c>
    </row>
    <row r="33" spans="2:2" ht="21" x14ac:dyDescent="0.4">
      <c r="B33" s="15" t="s">
        <v>40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Main_PD">
                <anchor moveWithCells="1" sizeWithCells="1">
                  <from>
                    <xdr:col>7</xdr:col>
                    <xdr:colOff>106680</xdr:colOff>
                    <xdr:row>9</xdr:row>
                    <xdr:rowOff>22860</xdr:rowOff>
                  </from>
                  <to>
                    <xdr:col>9</xdr:col>
                    <xdr:colOff>327660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H27"/>
  <sheetViews>
    <sheetView showGridLines="0" zoomScale="85" zoomScaleNormal="85" workbookViewId="0">
      <selection activeCell="E22" sqref="E22"/>
    </sheetView>
  </sheetViews>
  <sheetFormatPr defaultColWidth="9" defaultRowHeight="19.2" x14ac:dyDescent="0.4"/>
  <cols>
    <col min="1" max="1" width="9" style="7"/>
    <col min="2" max="2" width="15.796875" style="7" customWidth="1"/>
    <col min="3" max="3" width="12" style="7" customWidth="1"/>
    <col min="4" max="4" width="16.09765625" style="7" customWidth="1"/>
    <col min="5" max="5" width="16.796875" style="7" customWidth="1"/>
    <col min="6" max="6" width="14.09765625" style="7" customWidth="1"/>
    <col min="7" max="16384" width="9" style="7"/>
  </cols>
  <sheetData>
    <row r="1" spans="2:8" ht="21" x14ac:dyDescent="0.4">
      <c r="B1" s="15"/>
    </row>
    <row r="2" spans="2:8" ht="21" x14ac:dyDescent="0.4">
      <c r="B2" s="15" t="s">
        <v>38</v>
      </c>
    </row>
    <row r="4" spans="2:8" x14ac:dyDescent="0.4">
      <c r="B4" s="12" t="s">
        <v>0</v>
      </c>
      <c r="C4" s="12" t="s">
        <v>1</v>
      </c>
      <c r="D4" s="12" t="s">
        <v>13</v>
      </c>
      <c r="E4" s="12" t="s">
        <v>2</v>
      </c>
      <c r="F4" s="12" t="s">
        <v>3</v>
      </c>
    </row>
    <row r="5" spans="2:8" ht="23.25" customHeight="1" x14ac:dyDescent="0.4">
      <c r="B5" s="13">
        <v>43831</v>
      </c>
      <c r="C5" s="14" t="s">
        <v>14</v>
      </c>
      <c r="D5" s="43" t="s">
        <v>4</v>
      </c>
      <c r="E5" s="10" t="s">
        <v>5</v>
      </c>
      <c r="F5" s="11">
        <v>29000</v>
      </c>
      <c r="H5" s="8" t="s">
        <v>17</v>
      </c>
    </row>
    <row r="6" spans="2:8" ht="23.25" customHeight="1" x14ac:dyDescent="0.4">
      <c r="B6" s="13">
        <v>43832</v>
      </c>
      <c r="C6" s="14" t="s">
        <v>14</v>
      </c>
      <c r="D6" s="43" t="s">
        <v>6</v>
      </c>
      <c r="E6" s="10" t="s">
        <v>7</v>
      </c>
      <c r="F6" s="11">
        <v>24230</v>
      </c>
      <c r="H6" s="8"/>
    </row>
    <row r="7" spans="2:8" ht="23.25" customHeight="1" x14ac:dyDescent="0.4">
      <c r="B7" s="13">
        <v>43833</v>
      </c>
      <c r="C7" s="14" t="s">
        <v>14</v>
      </c>
      <c r="D7" s="43" t="s">
        <v>8</v>
      </c>
      <c r="E7" s="10" t="s">
        <v>7</v>
      </c>
      <c r="F7" s="11">
        <v>52240</v>
      </c>
      <c r="H7" s="8" t="s">
        <v>16</v>
      </c>
    </row>
    <row r="8" spans="2:8" ht="23.25" customHeight="1" x14ac:dyDescent="0.4">
      <c r="B8" s="13">
        <v>43834</v>
      </c>
      <c r="C8" s="14" t="s">
        <v>14</v>
      </c>
      <c r="D8" s="43" t="s">
        <v>9</v>
      </c>
      <c r="E8" s="10" t="s">
        <v>5</v>
      </c>
      <c r="F8" s="11">
        <v>6560</v>
      </c>
      <c r="H8" s="8"/>
    </row>
    <row r="9" spans="2:8" ht="23.25" customHeight="1" x14ac:dyDescent="0.4">
      <c r="B9" s="13">
        <v>43835</v>
      </c>
      <c r="C9" s="14" t="s">
        <v>14</v>
      </c>
      <c r="D9" s="43" t="s">
        <v>10</v>
      </c>
      <c r="E9" s="10" t="s">
        <v>7</v>
      </c>
      <c r="F9" s="11">
        <v>11380</v>
      </c>
      <c r="H9" s="8" t="s">
        <v>18</v>
      </c>
    </row>
    <row r="10" spans="2:8" ht="23.25" customHeight="1" x14ac:dyDescent="0.4">
      <c r="B10" s="13">
        <v>43836</v>
      </c>
      <c r="C10" s="14" t="s">
        <v>14</v>
      </c>
      <c r="D10" s="43" t="s">
        <v>11</v>
      </c>
      <c r="E10" s="10" t="s">
        <v>5</v>
      </c>
      <c r="F10" s="11">
        <v>50380</v>
      </c>
    </row>
    <row r="11" spans="2:8" ht="23.25" customHeight="1" x14ac:dyDescent="0.4">
      <c r="B11" s="13">
        <v>43837</v>
      </c>
      <c r="C11" s="14" t="s">
        <v>14</v>
      </c>
      <c r="D11" s="43" t="s">
        <v>12</v>
      </c>
      <c r="E11" s="10" t="s">
        <v>5</v>
      </c>
      <c r="F11" s="11">
        <v>51320</v>
      </c>
    </row>
    <row r="12" spans="2:8" ht="23.25" customHeight="1" x14ac:dyDescent="0.4">
      <c r="B12" s="13">
        <v>43838</v>
      </c>
      <c r="C12" s="14" t="s">
        <v>14</v>
      </c>
      <c r="D12" s="43" t="s">
        <v>8</v>
      </c>
      <c r="E12" s="10" t="s">
        <v>7</v>
      </c>
      <c r="F12" s="11">
        <v>29250</v>
      </c>
    </row>
    <row r="13" spans="2:8" ht="23.25" customHeight="1" x14ac:dyDescent="0.4">
      <c r="B13" s="13">
        <v>43839</v>
      </c>
      <c r="C13" s="14" t="s">
        <v>14</v>
      </c>
      <c r="D13" s="43" t="s">
        <v>6</v>
      </c>
      <c r="E13" s="10" t="s">
        <v>5</v>
      </c>
      <c r="F13" s="11">
        <v>28880</v>
      </c>
    </row>
    <row r="14" spans="2:8" ht="23.25" customHeight="1" x14ac:dyDescent="0.4">
      <c r="B14" s="13">
        <v>43840</v>
      </c>
      <c r="C14" s="14" t="s">
        <v>14</v>
      </c>
      <c r="D14" s="43" t="s">
        <v>4</v>
      </c>
      <c r="E14" s="10" t="s">
        <v>5</v>
      </c>
      <c r="F14" s="11">
        <v>4200</v>
      </c>
    </row>
    <row r="15" spans="2:8" ht="23.25" customHeight="1" x14ac:dyDescent="0.4">
      <c r="B15" s="13">
        <v>43841</v>
      </c>
      <c r="C15" s="14" t="s">
        <v>14</v>
      </c>
      <c r="D15" s="43" t="s">
        <v>9</v>
      </c>
      <c r="E15" s="10" t="s">
        <v>7</v>
      </c>
      <c r="F15" s="11">
        <v>61030</v>
      </c>
    </row>
    <row r="16" spans="2:8" ht="23.25" customHeight="1" x14ac:dyDescent="0.4">
      <c r="B16" s="13">
        <v>43842</v>
      </c>
      <c r="C16" s="14" t="s">
        <v>14</v>
      </c>
      <c r="D16" s="43" t="s">
        <v>11</v>
      </c>
      <c r="E16" s="10" t="s">
        <v>7</v>
      </c>
      <c r="F16" s="11">
        <v>21290</v>
      </c>
    </row>
    <row r="17" spans="2:8" ht="23.25" customHeight="1" x14ac:dyDescent="0.4">
      <c r="B17" s="13">
        <v>43843</v>
      </c>
      <c r="C17" s="14" t="s">
        <v>14</v>
      </c>
      <c r="D17" s="43" t="s">
        <v>6</v>
      </c>
      <c r="E17" s="10" t="s">
        <v>5</v>
      </c>
      <c r="F17" s="11">
        <v>44170</v>
      </c>
      <c r="H17" s="15"/>
    </row>
    <row r="18" spans="2:8" ht="23.25" customHeight="1" x14ac:dyDescent="0.4">
      <c r="B18" s="13">
        <v>43862</v>
      </c>
      <c r="C18" s="14" t="s">
        <v>15</v>
      </c>
      <c r="D18" s="43" t="s">
        <v>6</v>
      </c>
      <c r="E18" s="10" t="s">
        <v>5</v>
      </c>
      <c r="F18" s="11">
        <v>47090</v>
      </c>
    </row>
    <row r="19" spans="2:8" ht="23.25" customHeight="1" x14ac:dyDescent="0.4">
      <c r="B19" s="13">
        <v>43863</v>
      </c>
      <c r="C19" s="14" t="s">
        <v>15</v>
      </c>
      <c r="D19" s="43" t="s">
        <v>8</v>
      </c>
      <c r="E19" s="10" t="s">
        <v>7</v>
      </c>
      <c r="F19" s="11">
        <v>21870</v>
      </c>
    </row>
    <row r="20" spans="2:8" ht="23.25" customHeight="1" x14ac:dyDescent="0.4">
      <c r="B20" s="13">
        <v>43864</v>
      </c>
      <c r="C20" s="14" t="s">
        <v>15</v>
      </c>
      <c r="D20" s="43" t="s">
        <v>12</v>
      </c>
      <c r="E20" s="10" t="s">
        <v>7</v>
      </c>
      <c r="F20" s="11">
        <v>10860</v>
      </c>
    </row>
    <row r="21" spans="2:8" ht="23.25" customHeight="1" x14ac:dyDescent="0.4">
      <c r="B21" s="13">
        <v>43865</v>
      </c>
      <c r="C21" s="14" t="s">
        <v>15</v>
      </c>
      <c r="D21" s="43" t="s">
        <v>10</v>
      </c>
      <c r="E21" s="10" t="s">
        <v>7</v>
      </c>
      <c r="F21" s="11">
        <v>40610</v>
      </c>
    </row>
    <row r="22" spans="2:8" ht="23.25" customHeight="1" x14ac:dyDescent="0.4">
      <c r="B22" s="13">
        <v>43866</v>
      </c>
      <c r="C22" s="14" t="s">
        <v>15</v>
      </c>
      <c r="D22" s="43" t="s">
        <v>11</v>
      </c>
      <c r="E22" s="10" t="s">
        <v>7</v>
      </c>
      <c r="F22" s="11">
        <v>13850</v>
      </c>
    </row>
    <row r="23" spans="2:8" ht="23.25" customHeight="1" x14ac:dyDescent="0.4">
      <c r="B23" s="13">
        <v>43867</v>
      </c>
      <c r="C23" s="14" t="s">
        <v>15</v>
      </c>
      <c r="D23" s="43" t="s">
        <v>8</v>
      </c>
      <c r="E23" s="10" t="s">
        <v>7</v>
      </c>
      <c r="F23" s="11">
        <v>4960</v>
      </c>
    </row>
    <row r="24" spans="2:8" ht="23.25" customHeight="1" x14ac:dyDescent="0.4">
      <c r="B24" s="13">
        <v>43868</v>
      </c>
      <c r="C24" s="14" t="s">
        <v>15</v>
      </c>
      <c r="D24" s="43" t="s">
        <v>10</v>
      </c>
      <c r="E24" s="10" t="s">
        <v>7</v>
      </c>
      <c r="F24" s="11">
        <v>12530</v>
      </c>
    </row>
    <row r="25" spans="2:8" ht="23.25" customHeight="1" x14ac:dyDescent="0.4">
      <c r="B25" s="13">
        <v>43869</v>
      </c>
      <c r="C25" s="14" t="s">
        <v>15</v>
      </c>
      <c r="D25" s="43" t="s">
        <v>11</v>
      </c>
      <c r="E25" s="10" t="s">
        <v>7</v>
      </c>
      <c r="F25" s="11">
        <v>7435.8333333333303</v>
      </c>
    </row>
    <row r="26" spans="2:8" ht="23.25" customHeight="1" x14ac:dyDescent="0.4">
      <c r="B26" s="13">
        <v>43870</v>
      </c>
      <c r="C26" s="14" t="s">
        <v>15</v>
      </c>
      <c r="D26" s="43" t="s">
        <v>6</v>
      </c>
      <c r="E26" s="10" t="s">
        <v>5</v>
      </c>
      <c r="F26" s="11">
        <v>4095.6666666667302</v>
      </c>
    </row>
    <row r="27" spans="2:8" ht="23.25" customHeight="1" x14ac:dyDescent="0.4">
      <c r="B27" s="13">
        <v>43871</v>
      </c>
      <c r="C27" s="14" t="s">
        <v>15</v>
      </c>
      <c r="D27" s="43" t="s">
        <v>6</v>
      </c>
      <c r="E27" s="10" t="s">
        <v>5</v>
      </c>
      <c r="F27" s="11">
        <v>755.50000000002899</v>
      </c>
    </row>
  </sheetData>
  <sortState xmlns:xlrd2="http://schemas.microsoft.com/office/spreadsheetml/2017/richdata2" ref="B6:F27">
    <sortCondition ref="B5"/>
    <sortCondition ref="E5"/>
    <sortCondition descending="1" ref="F5"/>
  </sortState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9">
                <anchor moveWithCells="1" sizeWithCells="1">
                  <from>
                    <xdr:col>7</xdr:col>
                    <xdr:colOff>106680</xdr:colOff>
                    <xdr:row>11</xdr:row>
                    <xdr:rowOff>38100</xdr:rowOff>
                  </from>
                  <to>
                    <xdr:col>8</xdr:col>
                    <xdr:colOff>556260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매크로10">
                <anchor moveWithCells="1" sizeWithCells="1">
                  <from>
                    <xdr:col>9</xdr:col>
                    <xdr:colOff>167640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J31"/>
  <sheetViews>
    <sheetView showGridLines="0" zoomScale="85" zoomScaleNormal="85" workbookViewId="0">
      <selection activeCell="I3" sqref="I3"/>
    </sheetView>
  </sheetViews>
  <sheetFormatPr defaultColWidth="9" defaultRowHeight="19.2" x14ac:dyDescent="0.4"/>
  <cols>
    <col min="1" max="1" width="9" style="6"/>
    <col min="2" max="2" width="15.796875" style="6" customWidth="1"/>
    <col min="3" max="3" width="12" style="6" customWidth="1"/>
    <col min="4" max="4" width="16.09765625" style="6" customWidth="1"/>
    <col min="5" max="5" width="16.796875" style="6" customWidth="1"/>
    <col min="6" max="6" width="14.09765625" style="6" customWidth="1"/>
    <col min="7" max="7" width="9" style="6"/>
    <col min="8" max="10" width="18.69921875" style="6" customWidth="1"/>
    <col min="11" max="16384" width="9" style="6"/>
  </cols>
  <sheetData>
    <row r="2" spans="2:10" x14ac:dyDescent="0.4">
      <c r="H2" s="12" t="s">
        <v>19</v>
      </c>
      <c r="I2" s="12" t="s">
        <v>21</v>
      </c>
    </row>
    <row r="3" spans="2:10" ht="21" x14ac:dyDescent="0.4">
      <c r="B3" s="15" t="s">
        <v>39</v>
      </c>
      <c r="H3" s="10" t="s">
        <v>41</v>
      </c>
      <c r="I3" s="10" t="s">
        <v>5</v>
      </c>
    </row>
    <row r="5" spans="2:10" x14ac:dyDescent="0.4">
      <c r="B5" s="12" t="s">
        <v>0</v>
      </c>
      <c r="C5" s="12" t="s">
        <v>1</v>
      </c>
      <c r="D5" s="12" t="s">
        <v>13</v>
      </c>
      <c r="E5" s="12" t="s">
        <v>2</v>
      </c>
      <c r="F5" s="12" t="s">
        <v>3</v>
      </c>
      <c r="I5" s="12" t="s">
        <v>20</v>
      </c>
      <c r="J5" s="11">
        <f>SUM($J$7:$J$1048576)</f>
        <v>51941.166666666759</v>
      </c>
    </row>
    <row r="6" spans="2:10" x14ac:dyDescent="0.4">
      <c r="B6" s="13">
        <v>43831</v>
      </c>
      <c r="C6" s="14" t="s">
        <v>14</v>
      </c>
      <c r="D6" s="10" t="s">
        <v>4</v>
      </c>
      <c r="E6" s="10" t="s">
        <v>5</v>
      </c>
      <c r="F6" s="11">
        <v>29000</v>
      </c>
      <c r="H6" s="12" t="s">
        <v>0</v>
      </c>
      <c r="I6" s="12" t="s">
        <v>13</v>
      </c>
      <c r="J6" s="12" t="s">
        <v>3</v>
      </c>
    </row>
    <row r="7" spans="2:10" x14ac:dyDescent="0.4">
      <c r="B7" s="13">
        <v>43832</v>
      </c>
      <c r="C7" s="14" t="s">
        <v>14</v>
      </c>
      <c r="D7" s="10" t="s">
        <v>6</v>
      </c>
      <c r="E7" s="10" t="s">
        <v>7</v>
      </c>
      <c r="F7" s="11">
        <v>24230</v>
      </c>
      <c r="H7" s="13">
        <v>43862</v>
      </c>
      <c r="I7" s="10" t="s">
        <v>6</v>
      </c>
      <c r="J7" s="11">
        <v>47090</v>
      </c>
    </row>
    <row r="8" spans="2:10" x14ac:dyDescent="0.4">
      <c r="B8" s="13">
        <v>43833</v>
      </c>
      <c r="C8" s="14" t="s">
        <v>14</v>
      </c>
      <c r="D8" s="10" t="s">
        <v>8</v>
      </c>
      <c r="E8" s="10" t="s">
        <v>7</v>
      </c>
      <c r="F8" s="11">
        <v>52240</v>
      </c>
      <c r="H8" s="13">
        <v>43870</v>
      </c>
      <c r="I8" s="10" t="s">
        <v>6</v>
      </c>
      <c r="J8" s="11">
        <v>4095.6666666667302</v>
      </c>
    </row>
    <row r="9" spans="2:10" x14ac:dyDescent="0.4">
      <c r="B9" s="13">
        <v>43834</v>
      </c>
      <c r="C9" s="14" t="s">
        <v>14</v>
      </c>
      <c r="D9" s="10" t="s">
        <v>9</v>
      </c>
      <c r="E9" s="10" t="s">
        <v>5</v>
      </c>
      <c r="F9" s="11">
        <v>6560</v>
      </c>
      <c r="H9" s="13">
        <v>43871</v>
      </c>
      <c r="I9" s="10" t="s">
        <v>6</v>
      </c>
      <c r="J9" s="11">
        <v>755.50000000002899</v>
      </c>
    </row>
    <row r="10" spans="2:10" x14ac:dyDescent="0.4">
      <c r="B10" s="13">
        <v>43835</v>
      </c>
      <c r="C10" s="14" t="s">
        <v>14</v>
      </c>
      <c r="D10" s="10" t="s">
        <v>10</v>
      </c>
      <c r="E10" s="10" t="s">
        <v>7</v>
      </c>
      <c r="F10" s="11">
        <v>11380</v>
      </c>
      <c r="H10"/>
      <c r="I10"/>
      <c r="J10"/>
    </row>
    <row r="11" spans="2:10" x14ac:dyDescent="0.4">
      <c r="B11" s="13">
        <v>43836</v>
      </c>
      <c r="C11" s="14" t="s">
        <v>14</v>
      </c>
      <c r="D11" s="10" t="s">
        <v>11</v>
      </c>
      <c r="E11" s="10" t="s">
        <v>5</v>
      </c>
      <c r="F11" s="11">
        <v>50380</v>
      </c>
      <c r="H11"/>
      <c r="I11"/>
      <c r="J11"/>
    </row>
    <row r="12" spans="2:10" x14ac:dyDescent="0.4">
      <c r="B12" s="13">
        <v>43837</v>
      </c>
      <c r="C12" s="14" t="s">
        <v>14</v>
      </c>
      <c r="D12" s="10" t="s">
        <v>12</v>
      </c>
      <c r="E12" s="10" t="s">
        <v>5</v>
      </c>
      <c r="F12" s="11">
        <v>51320</v>
      </c>
      <c r="H12"/>
      <c r="I12"/>
      <c r="J12"/>
    </row>
    <row r="13" spans="2:10" x14ac:dyDescent="0.4">
      <c r="B13" s="13">
        <v>43838</v>
      </c>
      <c r="C13" s="14" t="s">
        <v>14</v>
      </c>
      <c r="D13" s="10" t="s">
        <v>8</v>
      </c>
      <c r="E13" s="10" t="s">
        <v>7</v>
      </c>
      <c r="F13" s="11">
        <v>29250</v>
      </c>
      <c r="H13"/>
      <c r="I13"/>
      <c r="J13"/>
    </row>
    <row r="14" spans="2:10" x14ac:dyDescent="0.4">
      <c r="B14" s="13">
        <v>43839</v>
      </c>
      <c r="C14" s="14" t="s">
        <v>14</v>
      </c>
      <c r="D14" s="10" t="s">
        <v>6</v>
      </c>
      <c r="E14" s="10" t="s">
        <v>5</v>
      </c>
      <c r="F14" s="11">
        <v>28880</v>
      </c>
      <c r="H14"/>
      <c r="I14"/>
      <c r="J14"/>
    </row>
    <row r="15" spans="2:10" x14ac:dyDescent="0.4">
      <c r="B15" s="13">
        <v>43840</v>
      </c>
      <c r="C15" s="14" t="s">
        <v>14</v>
      </c>
      <c r="D15" s="10" t="s">
        <v>4</v>
      </c>
      <c r="E15" s="10" t="s">
        <v>5</v>
      </c>
      <c r="F15" s="11">
        <v>4200</v>
      </c>
      <c r="H15"/>
      <c r="I15"/>
      <c r="J15"/>
    </row>
    <row r="16" spans="2:10" x14ac:dyDescent="0.4">
      <c r="B16" s="13">
        <v>43841</v>
      </c>
      <c r="C16" s="14" t="s">
        <v>14</v>
      </c>
      <c r="D16" s="10" t="s">
        <v>9</v>
      </c>
      <c r="E16" s="10" t="s">
        <v>7</v>
      </c>
      <c r="F16" s="11">
        <v>61030</v>
      </c>
    </row>
    <row r="17" spans="2:8" ht="21" x14ac:dyDescent="0.4">
      <c r="B17" s="13">
        <v>43842</v>
      </c>
      <c r="C17" s="14" t="s">
        <v>14</v>
      </c>
      <c r="D17" s="10" t="s">
        <v>11</v>
      </c>
      <c r="E17" s="10" t="s">
        <v>7</v>
      </c>
      <c r="F17" s="11">
        <v>21290</v>
      </c>
      <c r="H17" s="15"/>
    </row>
    <row r="18" spans="2:8" ht="21" x14ac:dyDescent="0.4">
      <c r="B18" s="13">
        <v>43843</v>
      </c>
      <c r="C18" s="14" t="s">
        <v>14</v>
      </c>
      <c r="D18" s="10" t="s">
        <v>6</v>
      </c>
      <c r="E18" s="10" t="s">
        <v>5</v>
      </c>
      <c r="F18" s="11">
        <v>44170</v>
      </c>
      <c r="H18" s="15"/>
    </row>
    <row r="19" spans="2:8" x14ac:dyDescent="0.4">
      <c r="B19" s="13">
        <v>43862</v>
      </c>
      <c r="C19" s="14" t="s">
        <v>15</v>
      </c>
      <c r="D19" s="10" t="s">
        <v>6</v>
      </c>
      <c r="E19" s="10" t="s">
        <v>5</v>
      </c>
      <c r="F19" s="11">
        <v>47090</v>
      </c>
    </row>
    <row r="20" spans="2:8" x14ac:dyDescent="0.4">
      <c r="B20" s="13">
        <v>43863</v>
      </c>
      <c r="C20" s="14" t="s">
        <v>15</v>
      </c>
      <c r="D20" s="10" t="s">
        <v>8</v>
      </c>
      <c r="E20" s="10" t="s">
        <v>7</v>
      </c>
      <c r="F20" s="11">
        <v>21870</v>
      </c>
    </row>
    <row r="21" spans="2:8" x14ac:dyDescent="0.4">
      <c r="B21" s="13">
        <v>43864</v>
      </c>
      <c r="C21" s="14" t="s">
        <v>15</v>
      </c>
      <c r="D21" s="10" t="s">
        <v>12</v>
      </c>
      <c r="E21" s="10" t="s">
        <v>7</v>
      </c>
      <c r="F21" s="11">
        <v>10860</v>
      </c>
    </row>
    <row r="22" spans="2:8" x14ac:dyDescent="0.4">
      <c r="B22" s="13">
        <v>43865</v>
      </c>
      <c r="C22" s="14" t="s">
        <v>15</v>
      </c>
      <c r="D22" s="10" t="s">
        <v>10</v>
      </c>
      <c r="E22" s="10" t="s">
        <v>7</v>
      </c>
      <c r="F22" s="11">
        <v>40610</v>
      </c>
    </row>
    <row r="23" spans="2:8" ht="21" x14ac:dyDescent="0.4">
      <c r="B23" s="13">
        <v>43866</v>
      </c>
      <c r="C23" s="14" t="s">
        <v>15</v>
      </c>
      <c r="D23" s="10" t="s">
        <v>11</v>
      </c>
      <c r="E23" s="10" t="s">
        <v>7</v>
      </c>
      <c r="F23" s="11">
        <v>13850</v>
      </c>
      <c r="H23" s="15"/>
    </row>
    <row r="24" spans="2:8" ht="21" x14ac:dyDescent="0.4">
      <c r="B24" s="13">
        <v>43867</v>
      </c>
      <c r="C24" s="14" t="s">
        <v>15</v>
      </c>
      <c r="D24" s="10" t="s">
        <v>8</v>
      </c>
      <c r="E24" s="10" t="s">
        <v>7</v>
      </c>
      <c r="F24" s="11">
        <v>4960</v>
      </c>
      <c r="H24" s="15"/>
    </row>
    <row r="25" spans="2:8" x14ac:dyDescent="0.4">
      <c r="B25" s="13">
        <v>43868</v>
      </c>
      <c r="C25" s="14" t="s">
        <v>15</v>
      </c>
      <c r="D25" s="10" t="s">
        <v>10</v>
      </c>
      <c r="E25" s="10" t="s">
        <v>7</v>
      </c>
      <c r="F25" s="11">
        <v>12530</v>
      </c>
    </row>
    <row r="26" spans="2:8" x14ac:dyDescent="0.4">
      <c r="B26" s="13">
        <v>43869</v>
      </c>
      <c r="C26" s="14" t="s">
        <v>15</v>
      </c>
      <c r="D26" s="10" t="s">
        <v>11</v>
      </c>
      <c r="E26" s="10" t="s">
        <v>7</v>
      </c>
      <c r="F26" s="11">
        <v>7435.8333333333303</v>
      </c>
    </row>
    <row r="27" spans="2:8" x14ac:dyDescent="0.4">
      <c r="B27" s="13">
        <v>43870</v>
      </c>
      <c r="C27" s="14" t="s">
        <v>15</v>
      </c>
      <c r="D27" s="10" t="s">
        <v>6</v>
      </c>
      <c r="E27" s="10" t="s">
        <v>5</v>
      </c>
      <c r="F27" s="11">
        <v>4095.6666666667302</v>
      </c>
    </row>
    <row r="28" spans="2:8" x14ac:dyDescent="0.4">
      <c r="B28" s="13">
        <v>43871</v>
      </c>
      <c r="C28" s="14" t="s">
        <v>15</v>
      </c>
      <c r="D28" s="10" t="s">
        <v>6</v>
      </c>
      <c r="E28" s="10" t="s">
        <v>5</v>
      </c>
      <c r="F28" s="11">
        <v>755.50000000002899</v>
      </c>
    </row>
    <row r="30" spans="2:8" ht="21" x14ac:dyDescent="0.4">
      <c r="B30" s="8" t="s">
        <v>36</v>
      </c>
    </row>
    <row r="31" spans="2:8" ht="21" x14ac:dyDescent="0.4">
      <c r="B31" s="8" t="s">
        <v>37</v>
      </c>
    </row>
  </sheetData>
  <phoneticPr fontId="1" type="noConversion"/>
  <dataValidations count="2">
    <dataValidation type="list" allowBlank="1" showInputMessage="1" showErrorMessage="1" sqref="H3" xr:uid="{00000000-0002-0000-0200-000000000000}">
      <formula1>"1월,2월"</formula1>
    </dataValidation>
    <dataValidation type="list" allowBlank="1" showInputMessage="1" showErrorMessage="1" sqref="I3" xr:uid="{00000000-0002-0000-0200-000001000000}">
      <formula1>"카드,현금"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매크로7">
                <anchor moveWithCells="1" sizeWithCells="1">
                  <from>
                    <xdr:col>9</xdr:col>
                    <xdr:colOff>137160</xdr:colOff>
                    <xdr:row>1</xdr:row>
                    <xdr:rowOff>38100</xdr:rowOff>
                  </from>
                  <to>
                    <xdr:col>9</xdr:col>
                    <xdr:colOff>1386840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J28"/>
  <sheetViews>
    <sheetView showGridLines="0" tabSelected="1" zoomScaleNormal="100" workbookViewId="0">
      <selection activeCell="H19" sqref="H19"/>
    </sheetView>
  </sheetViews>
  <sheetFormatPr defaultRowHeight="17.399999999999999" x14ac:dyDescent="0.4"/>
  <cols>
    <col min="2" max="2" width="15.796875" customWidth="1"/>
    <col min="3" max="3" width="12" customWidth="1"/>
    <col min="4" max="4" width="16.09765625" customWidth="1"/>
    <col min="5" max="5" width="16.796875" customWidth="1"/>
    <col min="6" max="6" width="14.09765625" customWidth="1"/>
    <col min="8" max="9" width="11.296875" customWidth="1"/>
    <col min="13" max="14" width="11.59765625" customWidth="1"/>
  </cols>
  <sheetData>
    <row r="2" spans="2:10" ht="21" x14ac:dyDescent="0.4">
      <c r="B2" s="15" t="s">
        <v>47</v>
      </c>
    </row>
    <row r="3" spans="2:10" x14ac:dyDescent="0.4">
      <c r="J3" s="3"/>
    </row>
    <row r="4" spans="2:10" x14ac:dyDescent="0.4">
      <c r="B4" s="45" t="s">
        <v>0</v>
      </c>
      <c r="C4" s="45" t="s">
        <v>1</v>
      </c>
      <c r="D4" s="45" t="s">
        <v>13</v>
      </c>
      <c r="E4" s="45" t="s">
        <v>2</v>
      </c>
      <c r="F4" s="45" t="s">
        <v>3</v>
      </c>
    </row>
    <row r="5" spans="2:10" x14ac:dyDescent="0.4">
      <c r="B5" s="17">
        <v>43831</v>
      </c>
      <c r="C5" s="18" t="s">
        <v>14</v>
      </c>
      <c r="D5" s="19" t="s">
        <v>4</v>
      </c>
      <c r="E5" s="19" t="s">
        <v>5</v>
      </c>
      <c r="F5" s="20">
        <v>29000</v>
      </c>
      <c r="H5" s="1" t="s">
        <v>19</v>
      </c>
      <c r="I5" s="2" t="s">
        <v>26</v>
      </c>
    </row>
    <row r="6" spans="2:10" x14ac:dyDescent="0.4">
      <c r="B6" s="17">
        <v>43832</v>
      </c>
      <c r="C6" s="18" t="s">
        <v>14</v>
      </c>
      <c r="D6" s="19" t="s">
        <v>6</v>
      </c>
      <c r="E6" s="19" t="s">
        <v>7</v>
      </c>
      <c r="F6" s="20">
        <v>24230</v>
      </c>
    </row>
    <row r="7" spans="2:10" x14ac:dyDescent="0.4">
      <c r="B7" s="17">
        <v>43833</v>
      </c>
      <c r="C7" s="18" t="s">
        <v>14</v>
      </c>
      <c r="D7" s="19" t="s">
        <v>8</v>
      </c>
      <c r="E7" s="19" t="s">
        <v>7</v>
      </c>
      <c r="F7" s="20">
        <v>52240</v>
      </c>
      <c r="H7" s="1" t="s">
        <v>22</v>
      </c>
      <c r="I7" s="2" t="s">
        <v>5</v>
      </c>
    </row>
    <row r="8" spans="2:10" x14ac:dyDescent="0.4">
      <c r="B8" s="17">
        <v>43834</v>
      </c>
      <c r="C8" s="18" t="s">
        <v>14</v>
      </c>
      <c r="D8" s="19" t="s">
        <v>9</v>
      </c>
      <c r="E8" s="19" t="s">
        <v>5</v>
      </c>
      <c r="F8" s="20">
        <v>6560</v>
      </c>
    </row>
    <row r="9" spans="2:10" x14ac:dyDescent="0.4">
      <c r="B9" s="17">
        <v>43835</v>
      </c>
      <c r="C9" s="18" t="s">
        <v>14</v>
      </c>
      <c r="D9" s="19" t="s">
        <v>10</v>
      </c>
      <c r="E9" s="19" t="s">
        <v>7</v>
      </c>
      <c r="F9" s="20">
        <v>11380</v>
      </c>
      <c r="H9" s="1" t="s">
        <v>23</v>
      </c>
      <c r="I9" s="2" t="s">
        <v>24</v>
      </c>
      <c r="J9" s="4">
        <v>10000</v>
      </c>
    </row>
    <row r="10" spans="2:10" x14ac:dyDescent="0.4">
      <c r="B10" s="17">
        <v>43836</v>
      </c>
      <c r="C10" s="18" t="s">
        <v>14</v>
      </c>
      <c r="D10" s="19" t="s">
        <v>11</v>
      </c>
      <c r="E10" s="19" t="s">
        <v>5</v>
      </c>
      <c r="F10" s="20">
        <v>50380</v>
      </c>
    </row>
    <row r="11" spans="2:10" x14ac:dyDescent="0.4">
      <c r="B11" s="17">
        <v>43837</v>
      </c>
      <c r="C11" s="18" t="s">
        <v>14</v>
      </c>
      <c r="D11" s="19" t="s">
        <v>12</v>
      </c>
      <c r="E11" s="19" t="s">
        <v>5</v>
      </c>
      <c r="F11" s="20">
        <v>51320</v>
      </c>
      <c r="H11" s="1" t="s">
        <v>25</v>
      </c>
      <c r="I11" s="5"/>
    </row>
    <row r="12" spans="2:10" x14ac:dyDescent="0.4">
      <c r="B12" s="17">
        <v>43838</v>
      </c>
      <c r="C12" s="18" t="s">
        <v>14</v>
      </c>
      <c r="D12" s="19" t="s">
        <v>8</v>
      </c>
      <c r="E12" s="19" t="s">
        <v>7</v>
      </c>
      <c r="F12" s="20">
        <v>29250</v>
      </c>
    </row>
    <row r="13" spans="2:10" x14ac:dyDescent="0.4">
      <c r="B13" s="17">
        <v>43839</v>
      </c>
      <c r="C13" s="18" t="s">
        <v>14</v>
      </c>
      <c r="D13" s="19" t="s">
        <v>6</v>
      </c>
      <c r="E13" s="19" t="s">
        <v>5</v>
      </c>
      <c r="F13" s="20">
        <v>28880</v>
      </c>
    </row>
    <row r="14" spans="2:10" x14ac:dyDescent="0.4">
      <c r="B14" s="17">
        <v>43840</v>
      </c>
      <c r="C14" s="18" t="s">
        <v>14</v>
      </c>
      <c r="D14" s="19" t="s">
        <v>4</v>
      </c>
      <c r="E14" s="19" t="s">
        <v>5</v>
      </c>
      <c r="F14" s="20">
        <v>4200</v>
      </c>
    </row>
    <row r="15" spans="2:10" x14ac:dyDescent="0.4">
      <c r="B15" s="17">
        <v>43841</v>
      </c>
      <c r="C15" s="18" t="s">
        <v>14</v>
      </c>
      <c r="D15" s="19" t="s">
        <v>9</v>
      </c>
      <c r="E15" s="19" t="s">
        <v>7</v>
      </c>
      <c r="F15" s="20">
        <v>61030</v>
      </c>
    </row>
    <row r="16" spans="2:10" x14ac:dyDescent="0.4">
      <c r="B16" s="17">
        <v>43842</v>
      </c>
      <c r="C16" s="18" t="s">
        <v>14</v>
      </c>
      <c r="D16" s="19" t="s">
        <v>11</v>
      </c>
      <c r="E16" s="19" t="s">
        <v>7</v>
      </c>
      <c r="F16" s="20">
        <v>21290</v>
      </c>
    </row>
    <row r="17" spans="2:6" x14ac:dyDescent="0.4">
      <c r="B17" s="17">
        <v>43843</v>
      </c>
      <c r="C17" s="18" t="s">
        <v>14</v>
      </c>
      <c r="D17" s="19" t="s">
        <v>6</v>
      </c>
      <c r="E17" s="19" t="s">
        <v>5</v>
      </c>
      <c r="F17" s="20">
        <v>44170</v>
      </c>
    </row>
    <row r="18" spans="2:6" x14ac:dyDescent="0.4">
      <c r="B18" s="44">
        <v>43862</v>
      </c>
      <c r="C18" s="18" t="s">
        <v>15</v>
      </c>
      <c r="D18" s="19" t="s">
        <v>6</v>
      </c>
      <c r="E18" s="19" t="s">
        <v>5</v>
      </c>
      <c r="F18" s="20">
        <v>47090</v>
      </c>
    </row>
    <row r="19" spans="2:6" x14ac:dyDescent="0.4">
      <c r="B19" s="44">
        <v>43863</v>
      </c>
      <c r="C19" s="18" t="s">
        <v>15</v>
      </c>
      <c r="D19" s="19" t="s">
        <v>8</v>
      </c>
      <c r="E19" s="19" t="s">
        <v>7</v>
      </c>
      <c r="F19" s="20">
        <v>21870</v>
      </c>
    </row>
    <row r="20" spans="2:6" x14ac:dyDescent="0.4">
      <c r="B20" s="44">
        <v>43864</v>
      </c>
      <c r="C20" s="18" t="s">
        <v>15</v>
      </c>
      <c r="D20" s="19" t="s">
        <v>12</v>
      </c>
      <c r="E20" s="19" t="s">
        <v>7</v>
      </c>
      <c r="F20" s="20">
        <v>10860</v>
      </c>
    </row>
    <row r="21" spans="2:6" x14ac:dyDescent="0.4">
      <c r="B21" s="44">
        <v>43865</v>
      </c>
      <c r="C21" s="18" t="s">
        <v>15</v>
      </c>
      <c r="D21" s="19" t="s">
        <v>10</v>
      </c>
      <c r="E21" s="19" t="s">
        <v>7</v>
      </c>
      <c r="F21" s="20">
        <v>40610</v>
      </c>
    </row>
    <row r="22" spans="2:6" x14ac:dyDescent="0.4">
      <c r="B22" s="44">
        <v>43866</v>
      </c>
      <c r="C22" s="18" t="s">
        <v>15</v>
      </c>
      <c r="D22" s="19" t="s">
        <v>11</v>
      </c>
      <c r="E22" s="19" t="s">
        <v>7</v>
      </c>
      <c r="F22" s="20">
        <v>13850</v>
      </c>
    </row>
    <row r="23" spans="2:6" x14ac:dyDescent="0.4">
      <c r="B23" s="44">
        <v>43867</v>
      </c>
      <c r="C23" s="18" t="s">
        <v>15</v>
      </c>
      <c r="D23" s="19" t="s">
        <v>8</v>
      </c>
      <c r="E23" s="19" t="s">
        <v>7</v>
      </c>
      <c r="F23" s="20">
        <v>4960</v>
      </c>
    </row>
    <row r="24" spans="2:6" x14ac:dyDescent="0.4">
      <c r="B24" s="44">
        <v>43868</v>
      </c>
      <c r="C24" s="18" t="s">
        <v>15</v>
      </c>
      <c r="D24" s="19" t="s">
        <v>10</v>
      </c>
      <c r="E24" s="19" t="s">
        <v>7</v>
      </c>
      <c r="F24" s="20">
        <v>12530</v>
      </c>
    </row>
    <row r="25" spans="2:6" x14ac:dyDescent="0.4">
      <c r="B25" s="44">
        <v>43869</v>
      </c>
      <c r="C25" s="18" t="s">
        <v>15</v>
      </c>
      <c r="D25" s="19" t="s">
        <v>11</v>
      </c>
      <c r="E25" s="19" t="s">
        <v>7</v>
      </c>
      <c r="F25" s="20">
        <v>7435.8333333333303</v>
      </c>
    </row>
    <row r="26" spans="2:6" x14ac:dyDescent="0.4">
      <c r="B26" s="44">
        <v>43870</v>
      </c>
      <c r="C26" s="18" t="s">
        <v>15</v>
      </c>
      <c r="D26" s="19" t="s">
        <v>6</v>
      </c>
      <c r="E26" s="19" t="s">
        <v>5</v>
      </c>
      <c r="F26" s="20">
        <v>4095.6666666667302</v>
      </c>
    </row>
    <row r="27" spans="2:6" x14ac:dyDescent="0.4">
      <c r="B27" s="44">
        <v>43871</v>
      </c>
      <c r="C27" s="18" t="s">
        <v>15</v>
      </c>
      <c r="D27" s="19" t="s">
        <v>6</v>
      </c>
      <c r="E27" s="19" t="s">
        <v>5</v>
      </c>
      <c r="F27" s="20">
        <v>755.50000000002899</v>
      </c>
    </row>
    <row r="28" spans="2:6" x14ac:dyDescent="0.4">
      <c r="B28" s="46"/>
      <c r="C28" s="46"/>
      <c r="D28" s="46"/>
      <c r="E28" s="46"/>
      <c r="F28" s="46"/>
    </row>
  </sheetData>
  <phoneticPr fontId="1" type="noConversion"/>
  <dataValidations count="3">
    <dataValidation type="list" allowBlank="1" showInputMessage="1" showErrorMessage="1" sqref="I7" xr:uid="{00000000-0002-0000-0300-000000000000}">
      <formula1>"카드,현금"</formula1>
    </dataValidation>
    <dataValidation type="list" allowBlank="1" showInputMessage="1" showErrorMessage="1" sqref="I9" xr:uid="{00000000-0002-0000-0300-000001000000}">
      <formula1>"이상,이하"</formula1>
    </dataValidation>
    <dataValidation type="list" allowBlank="1" showInputMessage="1" showErrorMessage="1" sqref="I5" xr:uid="{00000000-0002-0000-0300-000002000000}">
      <formula1>"1월,2월"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>
                <anchor moveWithCells="1" sizeWithCells="1">
                  <from>
                    <xdr:col>7</xdr:col>
                    <xdr:colOff>15240</xdr:colOff>
                    <xdr:row>11</xdr:row>
                    <xdr:rowOff>175260</xdr:rowOff>
                  </from>
                  <to>
                    <xdr:col>10</xdr:col>
                    <xdr:colOff>137160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Q28"/>
  <sheetViews>
    <sheetView showGridLines="0" zoomScale="70" zoomScaleNormal="70" workbookViewId="0">
      <selection activeCell="P20" sqref="P20"/>
    </sheetView>
  </sheetViews>
  <sheetFormatPr defaultRowHeight="17.399999999999999" x14ac:dyDescent="0.4"/>
  <cols>
    <col min="2" max="2" width="15.796875" customWidth="1"/>
    <col min="3" max="3" width="12" customWidth="1"/>
    <col min="4" max="4" width="16.09765625" customWidth="1"/>
    <col min="5" max="5" width="16.796875" customWidth="1"/>
    <col min="6" max="6" width="14.09765625" customWidth="1"/>
    <col min="8" max="9" width="11.296875" customWidth="1"/>
    <col min="13" max="14" width="11.59765625" customWidth="1"/>
  </cols>
  <sheetData>
    <row r="1" spans="1:17" ht="21" x14ac:dyDescent="0.4">
      <c r="A1" s="15" t="s">
        <v>42</v>
      </c>
    </row>
    <row r="2" spans="1:17" x14ac:dyDescent="0.4">
      <c r="P2" t="s">
        <v>49</v>
      </c>
      <c r="Q2">
        <f>COUNTIF(C:C,"1월")</f>
        <v>13</v>
      </c>
    </row>
    <row r="3" spans="1:17" x14ac:dyDescent="0.4">
      <c r="J3" s="3"/>
      <c r="P3" t="s">
        <v>48</v>
      </c>
      <c r="Q3">
        <f>COUNTIF(C:C,"2월")</f>
        <v>10</v>
      </c>
    </row>
    <row r="4" spans="1:17" ht="19.2" x14ac:dyDescent="0.4">
      <c r="B4" s="1" t="s">
        <v>0</v>
      </c>
      <c r="C4" s="1" t="s">
        <v>1</v>
      </c>
      <c r="D4" s="1" t="s">
        <v>13</v>
      </c>
      <c r="E4" s="1" t="s">
        <v>2</v>
      </c>
      <c r="F4" s="1" t="s">
        <v>3</v>
      </c>
      <c r="H4" s="9" t="s">
        <v>43</v>
      </c>
    </row>
    <row r="5" spans="1:17" ht="19.2" x14ac:dyDescent="0.4">
      <c r="B5" s="21">
        <v>43843</v>
      </c>
      <c r="C5" s="18" t="s">
        <v>14</v>
      </c>
      <c r="D5" s="19" t="s">
        <v>6</v>
      </c>
      <c r="E5" s="19" t="s">
        <v>5</v>
      </c>
      <c r="F5" s="20">
        <v>44170</v>
      </c>
      <c r="H5" s="9" t="s">
        <v>44</v>
      </c>
    </row>
    <row r="6" spans="1:17" ht="19.2" x14ac:dyDescent="0.4">
      <c r="B6" s="21">
        <v>43842</v>
      </c>
      <c r="C6" s="18" t="s">
        <v>14</v>
      </c>
      <c r="D6" s="19" t="s">
        <v>11</v>
      </c>
      <c r="E6" s="19" t="s">
        <v>7</v>
      </c>
      <c r="F6" s="20">
        <v>21290</v>
      </c>
      <c r="H6" s="9" t="s">
        <v>45</v>
      </c>
    </row>
    <row r="7" spans="1:17" ht="19.2" x14ac:dyDescent="0.4">
      <c r="B7" s="21">
        <v>43841</v>
      </c>
      <c r="C7" s="18" t="s">
        <v>14</v>
      </c>
      <c r="D7" s="19" t="s">
        <v>9</v>
      </c>
      <c r="E7" s="19" t="s">
        <v>7</v>
      </c>
      <c r="F7" s="20">
        <v>61030</v>
      </c>
      <c r="H7" s="9" t="s">
        <v>46</v>
      </c>
    </row>
    <row r="8" spans="1:17" ht="19.2" x14ac:dyDescent="0.4">
      <c r="B8" s="21">
        <v>43840</v>
      </c>
      <c r="C8" s="18" t="s">
        <v>14</v>
      </c>
      <c r="D8" s="19" t="s">
        <v>4</v>
      </c>
      <c r="E8" s="19" t="s">
        <v>5</v>
      </c>
      <c r="F8" s="20">
        <v>4200</v>
      </c>
      <c r="H8" s="9"/>
    </row>
    <row r="9" spans="1:17" ht="19.8" thickBot="1" x14ac:dyDescent="0.45">
      <c r="B9" s="21">
        <v>43839</v>
      </c>
      <c r="C9" s="18" t="s">
        <v>14</v>
      </c>
      <c r="D9" s="19" t="s">
        <v>6</v>
      </c>
      <c r="E9" s="19" t="s">
        <v>5</v>
      </c>
      <c r="F9" s="20">
        <v>28880</v>
      </c>
      <c r="H9" s="9"/>
    </row>
    <row r="10" spans="1:17" ht="19.2" x14ac:dyDescent="0.4">
      <c r="B10" s="21">
        <v>43838</v>
      </c>
      <c r="C10" s="18" t="s">
        <v>14</v>
      </c>
      <c r="D10" s="19" t="s">
        <v>8</v>
      </c>
      <c r="E10" s="19" t="s">
        <v>7</v>
      </c>
      <c r="F10" s="20">
        <v>29250</v>
      </c>
      <c r="H10" s="41"/>
      <c r="I10" s="33"/>
      <c r="J10" s="33"/>
      <c r="K10" s="33"/>
      <c r="L10" s="33"/>
      <c r="M10" s="33"/>
      <c r="N10" s="33"/>
      <c r="O10" s="34"/>
    </row>
    <row r="11" spans="1:17" ht="19.2" x14ac:dyDescent="0.4">
      <c r="B11" s="21">
        <v>43837</v>
      </c>
      <c r="C11" s="18" t="s">
        <v>14</v>
      </c>
      <c r="D11" s="19" t="s">
        <v>12</v>
      </c>
      <c r="E11" s="19" t="s">
        <v>5</v>
      </c>
      <c r="F11" s="20">
        <v>51320</v>
      </c>
      <c r="H11" s="42"/>
      <c r="I11" s="36"/>
      <c r="J11" s="36"/>
      <c r="K11" s="36"/>
      <c r="L11" s="36"/>
      <c r="M11" s="36"/>
      <c r="N11" s="36"/>
      <c r="O11" s="37"/>
    </row>
    <row r="12" spans="1:17" ht="19.2" x14ac:dyDescent="0.4">
      <c r="B12" s="21">
        <v>43836</v>
      </c>
      <c r="C12" s="18" t="s">
        <v>14</v>
      </c>
      <c r="D12" s="19" t="s">
        <v>11</v>
      </c>
      <c r="E12" s="19" t="s">
        <v>5</v>
      </c>
      <c r="F12" s="20">
        <v>50380</v>
      </c>
      <c r="H12" s="42"/>
      <c r="I12" s="36"/>
      <c r="J12" s="36"/>
      <c r="K12" s="36"/>
      <c r="L12" s="36"/>
      <c r="M12" s="36"/>
      <c r="N12" s="36"/>
      <c r="O12" s="37"/>
    </row>
    <row r="13" spans="1:17" ht="19.2" x14ac:dyDescent="0.4">
      <c r="B13" s="21">
        <v>43835</v>
      </c>
      <c r="C13" s="18" t="s">
        <v>14</v>
      </c>
      <c r="D13" s="19" t="s">
        <v>10</v>
      </c>
      <c r="E13" s="19" t="s">
        <v>7</v>
      </c>
      <c r="F13" s="20">
        <v>11380</v>
      </c>
      <c r="H13" s="42"/>
      <c r="I13" s="36"/>
      <c r="J13" s="36"/>
      <c r="K13" s="36"/>
      <c r="L13" s="36"/>
      <c r="M13" s="36"/>
      <c r="N13" s="36"/>
      <c r="O13" s="37"/>
    </row>
    <row r="14" spans="1:17" ht="19.2" x14ac:dyDescent="0.4">
      <c r="B14" s="21">
        <v>43834</v>
      </c>
      <c r="C14" s="18" t="s">
        <v>14</v>
      </c>
      <c r="D14" s="19" t="s">
        <v>9</v>
      </c>
      <c r="E14" s="19" t="s">
        <v>5</v>
      </c>
      <c r="F14" s="20">
        <v>6560</v>
      </c>
      <c r="H14" s="42"/>
      <c r="I14" s="36"/>
      <c r="J14" s="36"/>
      <c r="K14" s="36"/>
      <c r="L14" s="36"/>
      <c r="M14" s="36"/>
      <c r="N14" s="36"/>
      <c r="O14" s="37"/>
    </row>
    <row r="15" spans="1:17" x14ac:dyDescent="0.4">
      <c r="B15" s="21">
        <v>43833</v>
      </c>
      <c r="C15" s="18" t="s">
        <v>14</v>
      </c>
      <c r="D15" s="19" t="s">
        <v>8</v>
      </c>
      <c r="E15" s="19" t="s">
        <v>7</v>
      </c>
      <c r="F15" s="20">
        <v>52240</v>
      </c>
      <c r="H15" s="35"/>
      <c r="I15" s="36"/>
      <c r="J15" s="36"/>
      <c r="K15" s="36"/>
      <c r="L15" s="36"/>
      <c r="M15" s="36"/>
      <c r="N15" s="36"/>
      <c r="O15" s="37"/>
    </row>
    <row r="16" spans="1:17" ht="19.2" x14ac:dyDescent="0.4">
      <c r="B16" s="21">
        <v>43832</v>
      </c>
      <c r="C16" s="18" t="s">
        <v>14</v>
      </c>
      <c r="D16" s="19" t="s">
        <v>6</v>
      </c>
      <c r="E16" s="19" t="s">
        <v>7</v>
      </c>
      <c r="F16" s="20">
        <v>24230</v>
      </c>
      <c r="H16" s="42"/>
      <c r="I16" s="36"/>
      <c r="J16" s="36"/>
      <c r="K16" s="36"/>
      <c r="L16" s="36"/>
      <c r="M16" s="36"/>
      <c r="N16" s="36"/>
      <c r="O16" s="37"/>
    </row>
    <row r="17" spans="2:15" x14ac:dyDescent="0.4">
      <c r="B17" s="21">
        <v>43831</v>
      </c>
      <c r="C17" s="18" t="s">
        <v>14</v>
      </c>
      <c r="D17" s="19" t="s">
        <v>4</v>
      </c>
      <c r="E17" s="19" t="s">
        <v>5</v>
      </c>
      <c r="F17" s="20">
        <v>29000</v>
      </c>
      <c r="H17" s="35"/>
      <c r="I17" s="36"/>
      <c r="J17" s="36"/>
      <c r="K17" s="36"/>
      <c r="L17" s="36"/>
      <c r="M17" s="36"/>
      <c r="N17" s="36"/>
      <c r="O17" s="37"/>
    </row>
    <row r="18" spans="2:15" x14ac:dyDescent="0.4">
      <c r="B18" s="21">
        <v>43862</v>
      </c>
      <c r="C18" s="18" t="s">
        <v>15</v>
      </c>
      <c r="D18" s="19" t="s">
        <v>6</v>
      </c>
      <c r="E18" s="19" t="s">
        <v>5</v>
      </c>
      <c r="F18" s="20">
        <v>47090</v>
      </c>
      <c r="H18" s="35"/>
      <c r="I18" s="36"/>
      <c r="J18" s="36"/>
      <c r="K18" s="36"/>
      <c r="L18" s="36"/>
      <c r="M18" s="36"/>
      <c r="N18" s="36"/>
      <c r="O18" s="37"/>
    </row>
    <row r="19" spans="2:15" x14ac:dyDescent="0.4">
      <c r="B19" s="21">
        <v>43863</v>
      </c>
      <c r="C19" s="18" t="s">
        <v>15</v>
      </c>
      <c r="D19" s="19" t="s">
        <v>8</v>
      </c>
      <c r="E19" s="19" t="s">
        <v>7</v>
      </c>
      <c r="F19" s="20">
        <v>21870</v>
      </c>
      <c r="H19" s="35"/>
      <c r="I19" s="36"/>
      <c r="J19" s="36"/>
      <c r="K19" s="36"/>
      <c r="L19" s="36"/>
      <c r="M19" s="36"/>
      <c r="N19" s="36"/>
      <c r="O19" s="37"/>
    </row>
    <row r="20" spans="2:15" ht="18" thickBot="1" x14ac:dyDescent="0.45">
      <c r="B20" s="21">
        <v>43864</v>
      </c>
      <c r="C20" s="18" t="s">
        <v>15</v>
      </c>
      <c r="D20" s="19" t="s">
        <v>12</v>
      </c>
      <c r="E20" s="19" t="s">
        <v>7</v>
      </c>
      <c r="F20" s="20">
        <v>10860</v>
      </c>
      <c r="H20" s="38"/>
      <c r="I20" s="39"/>
      <c r="J20" s="39"/>
      <c r="K20" s="39"/>
      <c r="L20" s="39"/>
      <c r="M20" s="39"/>
      <c r="N20" s="39"/>
      <c r="O20" s="40"/>
    </row>
    <row r="21" spans="2:15" x14ac:dyDescent="0.4">
      <c r="B21" s="21">
        <v>43865</v>
      </c>
      <c r="C21" s="18" t="s">
        <v>15</v>
      </c>
      <c r="D21" s="19" t="s">
        <v>10</v>
      </c>
      <c r="E21" s="19" t="s">
        <v>7</v>
      </c>
      <c r="F21" s="20">
        <v>40610</v>
      </c>
    </row>
    <row r="22" spans="2:15" x14ac:dyDescent="0.4">
      <c r="B22" s="21">
        <v>43866</v>
      </c>
      <c r="C22" s="18" t="s">
        <v>15</v>
      </c>
      <c r="D22" s="19" t="s">
        <v>11</v>
      </c>
      <c r="E22" s="19" t="s">
        <v>7</v>
      </c>
      <c r="F22" s="20">
        <v>13850</v>
      </c>
    </row>
    <row r="23" spans="2:15" ht="19.2" x14ac:dyDescent="0.4">
      <c r="B23" s="21">
        <v>43867</v>
      </c>
      <c r="C23" s="18" t="s">
        <v>15</v>
      </c>
      <c r="D23" s="19" t="s">
        <v>8</v>
      </c>
      <c r="E23" s="19" t="s">
        <v>7</v>
      </c>
      <c r="F23" s="20">
        <v>4960</v>
      </c>
      <c r="H23" s="16"/>
    </row>
    <row r="24" spans="2:15" ht="19.2" x14ac:dyDescent="0.4">
      <c r="B24" s="21">
        <v>43868</v>
      </c>
      <c r="C24" s="18" t="s">
        <v>15</v>
      </c>
      <c r="D24" s="19" t="s">
        <v>10</v>
      </c>
      <c r="E24" s="19" t="s">
        <v>7</v>
      </c>
      <c r="F24" s="20">
        <v>12530</v>
      </c>
      <c r="H24" s="16"/>
    </row>
    <row r="25" spans="2:15" ht="19.2" x14ac:dyDescent="0.4">
      <c r="B25" s="21">
        <v>43869</v>
      </c>
      <c r="C25" s="18" t="s">
        <v>15</v>
      </c>
      <c r="D25" s="19" t="s">
        <v>11</v>
      </c>
      <c r="E25" s="19" t="s">
        <v>7</v>
      </c>
      <c r="F25" s="20">
        <v>7435.8333333333303</v>
      </c>
      <c r="H25" s="16"/>
    </row>
    <row r="26" spans="2:15" ht="19.2" x14ac:dyDescent="0.4">
      <c r="B26" s="21">
        <v>43870</v>
      </c>
      <c r="C26" s="18" t="s">
        <v>15</v>
      </c>
      <c r="D26" s="19" t="s">
        <v>6</v>
      </c>
      <c r="E26" s="19" t="s">
        <v>5</v>
      </c>
      <c r="F26" s="20">
        <v>4095.6666666667302</v>
      </c>
      <c r="H26" s="16"/>
    </row>
    <row r="27" spans="2:15" x14ac:dyDescent="0.4">
      <c r="B27" s="21">
        <v>43871</v>
      </c>
      <c r="C27" s="18" t="s">
        <v>15</v>
      </c>
      <c r="D27" s="19" t="s">
        <v>6</v>
      </c>
      <c r="E27" s="19" t="s">
        <v>5</v>
      </c>
      <c r="F27" s="20">
        <v>755.50000000002899</v>
      </c>
    </row>
    <row r="28" spans="2:15" x14ac:dyDescent="0.4">
      <c r="B28" s="46"/>
      <c r="C28" s="46"/>
      <c r="D28" s="46"/>
      <c r="E28" s="46"/>
      <c r="F28" s="46"/>
    </row>
  </sheetData>
  <autoFilter ref="B4:F27" xr:uid="{00000000-0001-0000-0400-000000000000}"/>
  <sortState xmlns:xlrd2="http://schemas.microsoft.com/office/spreadsheetml/2017/richdata2" ref="B5:F17">
    <sortCondition descending="1" ref="B5"/>
  </sortState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MY">
                <anchor moveWithCells="1" sizeWithCells="1">
                  <from>
                    <xdr:col>11</xdr:col>
                    <xdr:colOff>381000</xdr:colOff>
                    <xdr:row>6</xdr:row>
                    <xdr:rowOff>137160</xdr:rowOff>
                  </from>
                  <to>
                    <xdr:col>12</xdr:col>
                    <xdr:colOff>830580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odule3.AMY2">
                <anchor moveWithCells="1" sizeWithCells="1">
                  <from>
                    <xdr:col>13</xdr:col>
                    <xdr:colOff>297180</xdr:colOff>
                    <xdr:row>6</xdr:row>
                    <xdr:rowOff>137160</xdr:rowOff>
                  </from>
                  <to>
                    <xdr:col>14</xdr:col>
                    <xdr:colOff>495300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3</vt:i4>
      </vt:variant>
    </vt:vector>
  </HeadingPairs>
  <TitlesOfParts>
    <vt:vector size="8" baseType="lpstr">
      <vt:lpstr>매크로기록기란</vt:lpstr>
      <vt:lpstr>매크로기록하기(정렬하기)</vt:lpstr>
      <vt:lpstr>매크로기록하기(필터링하기)</vt:lpstr>
      <vt:lpstr>과제물1</vt:lpstr>
      <vt:lpstr>과제물2</vt:lpstr>
      <vt:lpstr>criteria</vt:lpstr>
      <vt:lpstr>'매크로기록하기(필터링하기)'!Extract</vt:lpstr>
      <vt:lpstr>수식1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jyjeon_2</cp:lastModifiedBy>
  <dcterms:created xsi:type="dcterms:W3CDTF">2020-05-14T04:25:00Z</dcterms:created>
  <dcterms:modified xsi:type="dcterms:W3CDTF">2024-11-27T01:25:51Z</dcterms:modified>
</cp:coreProperties>
</file>
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777A786A-A86C-43FB-A012-51AFCE1B14DA}" xr6:coauthVersionLast="47" xr6:coauthVersionMax="47" xr10:uidLastSave="{00000000-0000-0000-0000-000000000000}"/>
  <bookViews>
    <workbookView xWindow="8952" yWindow="3972" windowWidth="8808" windowHeight="4548" tabRatio="825" firstSheet="3" activeTab="4" xr2:uid="{00000000-000D-0000-FFFF-FFFF00000000}"/>
  </bookViews>
  <sheets>
    <sheet name="Filter(단일조건)" sheetId="3" r:id="rId1"/>
    <sheet name="Filter(AND)" sheetId="5" r:id="rId2"/>
    <sheet name="Filter(OR)" sheetId="8" r:id="rId3"/>
    <sheet name="Filter(AND OR)" sheetId="6" r:id="rId4"/>
    <sheet name="필터데이터(과제물)" sheetId="11" r:id="rId5"/>
    <sheet name="원본데이터(과제물)" sheetId="10" r:id="rId6"/>
  </sheets>
  <definedNames>
    <definedName name="_xlnm._FilterDatabase" localSheetId="3" hidden="1">'Filter(AND OR)'!$F$6:$L$26</definedName>
    <definedName name="_xlnm._FilterDatabase" localSheetId="1" hidden="1">'Filter(AND)'!$F$6:$L$26</definedName>
    <definedName name="_xlnm._FilterDatabase" localSheetId="2" hidden="1">'Filter(OR)'!$F$6:$L$26</definedName>
    <definedName name="_xlnm._FilterDatabase" localSheetId="0" hidden="1">'Filter(단일조건)'!$F$6:$L$26</definedName>
    <definedName name="_xlnm._FilterDatabase" localSheetId="5" hidden="1">'원본데이터(과제물)'!$F$6:$L$26</definedName>
    <definedName name="_xlnm.Criteria" localSheetId="3">'Filter(AND OR)'!$O$1:$Q$3</definedName>
    <definedName name="_xlnm.Criteria" localSheetId="1">'Filter(AND)'!$O$2:$P$3</definedName>
    <definedName name="_xlnm.Criteria" localSheetId="2">'Filter(OR)'!$O$2:$P$4</definedName>
    <definedName name="_xlnm.Criteria" localSheetId="0">'Filter(단일조건)'!$O$2:$O$3</definedName>
    <definedName name="_xlnm.Criteria" localSheetId="5">'원본데이터(과제물)'!$O$4:$P$4</definedName>
    <definedName name="_xlnm.Extract" localSheetId="3">'Filter(AND OR)'!$O$6:$R$6</definedName>
    <definedName name="_xlnm.Extract" localSheetId="1">'Filter(AND)'!$O$6:$Q$6</definedName>
    <definedName name="_xlnm.Extract" localSheetId="2">'Filter(OR)'!$O$6:$Q$6</definedName>
    <definedName name="_xlnm.Extract" localSheetId="0">'Filter(단일조건)'!$O$6:$U$6</definedName>
    <definedName name="_xlnm.Extract" localSheetId="5">'원본데이터(과제물)'!$O$6:$R$6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10" l="1"/>
  <c r="K26" i="10"/>
  <c r="L25" i="10"/>
  <c r="K25" i="10"/>
  <c r="L24" i="10"/>
  <c r="K24" i="10"/>
  <c r="L23" i="10"/>
  <c r="K23" i="10"/>
  <c r="L22" i="10"/>
  <c r="K22" i="10"/>
  <c r="L21" i="10"/>
  <c r="K21" i="10"/>
  <c r="L20" i="10"/>
  <c r="K20" i="10"/>
  <c r="L19" i="10"/>
  <c r="K19" i="10"/>
  <c r="L18" i="10"/>
  <c r="K18" i="10"/>
  <c r="L17" i="10"/>
  <c r="K17" i="10"/>
  <c r="L16" i="10"/>
  <c r="K16" i="10"/>
  <c r="L15" i="10"/>
  <c r="K15" i="10"/>
  <c r="L14" i="10"/>
  <c r="K14" i="10"/>
  <c r="L13" i="10"/>
  <c r="K13" i="10"/>
  <c r="L12" i="10"/>
  <c r="K12" i="10"/>
  <c r="L11" i="10"/>
  <c r="K11" i="10"/>
  <c r="L10" i="10"/>
  <c r="K10" i="10"/>
  <c r="L9" i="10"/>
  <c r="K9" i="10"/>
  <c r="L8" i="10"/>
  <c r="K8" i="10"/>
  <c r="L7" i="10"/>
  <c r="K7" i="10"/>
  <c r="P4" i="10" l="1"/>
  <c r="O4" i="10"/>
  <c r="L26" i="8"/>
  <c r="K26" i="8"/>
  <c r="L25" i="8"/>
  <c r="K25" i="8"/>
  <c r="L24" i="8"/>
  <c r="K24" i="8"/>
  <c r="L23" i="8"/>
  <c r="K23" i="8"/>
  <c r="L22" i="8"/>
  <c r="K22" i="8"/>
  <c r="L21" i="8"/>
  <c r="K21" i="8"/>
  <c r="L20" i="8"/>
  <c r="K20" i="8"/>
  <c r="L19" i="8"/>
  <c r="K19" i="8"/>
  <c r="L18" i="8"/>
  <c r="K18" i="8"/>
  <c r="L17" i="8"/>
  <c r="K17" i="8"/>
  <c r="L16" i="8"/>
  <c r="K16" i="8"/>
  <c r="L15" i="8"/>
  <c r="K15" i="8"/>
  <c r="L14" i="8"/>
  <c r="K14" i="8"/>
  <c r="L13" i="8"/>
  <c r="K13" i="8"/>
  <c r="L12" i="8"/>
  <c r="K12" i="8"/>
  <c r="L11" i="8"/>
  <c r="K11" i="8"/>
  <c r="L10" i="8"/>
  <c r="K10" i="8"/>
  <c r="L9" i="8"/>
  <c r="K9" i="8"/>
  <c r="L8" i="8"/>
  <c r="K8" i="8"/>
  <c r="L7" i="8"/>
  <c r="K7" i="8"/>
  <c r="L26" i="6"/>
  <c r="K26" i="6"/>
  <c r="L25" i="6"/>
  <c r="K25" i="6"/>
  <c r="L24" i="6"/>
  <c r="K24" i="6"/>
  <c r="L23" i="6"/>
  <c r="K23" i="6"/>
  <c r="L22" i="6"/>
  <c r="K22" i="6"/>
  <c r="L21" i="6"/>
  <c r="K21" i="6"/>
  <c r="L20" i="6"/>
  <c r="K20" i="6"/>
  <c r="L19" i="6"/>
  <c r="K19" i="6"/>
  <c r="L18" i="6"/>
  <c r="K18" i="6"/>
  <c r="L17" i="6"/>
  <c r="K17" i="6"/>
  <c r="L16" i="6"/>
  <c r="K16" i="6"/>
  <c r="L15" i="6"/>
  <c r="K15" i="6"/>
  <c r="L14" i="6"/>
  <c r="K14" i="6"/>
  <c r="L13" i="6"/>
  <c r="K13" i="6"/>
  <c r="L12" i="6"/>
  <c r="K12" i="6"/>
  <c r="L11" i="6"/>
  <c r="K11" i="6"/>
  <c r="L10" i="6"/>
  <c r="K10" i="6"/>
  <c r="L9" i="6"/>
  <c r="K9" i="6"/>
  <c r="L8" i="6"/>
  <c r="K8" i="6"/>
  <c r="L7" i="6"/>
  <c r="K7" i="6"/>
  <c r="L26" i="5"/>
  <c r="K26" i="5"/>
  <c r="L25" i="5"/>
  <c r="K25" i="5"/>
  <c r="L24" i="5"/>
  <c r="K24" i="5"/>
  <c r="L23" i="5"/>
  <c r="K23" i="5"/>
  <c r="L22" i="5"/>
  <c r="K22" i="5"/>
  <c r="L21" i="5"/>
  <c r="K21" i="5"/>
  <c r="L20" i="5"/>
  <c r="K20" i="5"/>
  <c r="L19" i="5"/>
  <c r="K19" i="5"/>
  <c r="L18" i="5"/>
  <c r="K18" i="5"/>
  <c r="L17" i="5"/>
  <c r="K17" i="5"/>
  <c r="L16" i="5"/>
  <c r="K16" i="5"/>
  <c r="L15" i="5"/>
  <c r="K15" i="5"/>
  <c r="L14" i="5"/>
  <c r="K14" i="5"/>
  <c r="L13" i="5"/>
  <c r="K13" i="5"/>
  <c r="L12" i="5"/>
  <c r="K12" i="5"/>
  <c r="L11" i="5"/>
  <c r="K11" i="5"/>
  <c r="L10" i="5"/>
  <c r="K10" i="5"/>
  <c r="L9" i="5"/>
  <c r="K9" i="5"/>
  <c r="L8" i="5"/>
  <c r="K8" i="5"/>
  <c r="L7" i="5"/>
  <c r="K7" i="5"/>
  <c r="L26" i="3" l="1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</calcChain>
</file>

<file path=xl/sharedStrings.xml><?xml version="1.0" encoding="utf-8"?>
<sst xmlns="http://schemas.openxmlformats.org/spreadsheetml/2006/main" count="427" uniqueCount="42">
  <si>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</si>
  <si>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</si>
  <si>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</si>
  <si>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</si>
  <si>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</si>
  <si>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</si>
  <si>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</si>
  <si>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</si>
  <si>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</si>
  <si>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</si>
  <si>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</si>
  <si>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</si>
  <si>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</si>
  <si>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</si>
  <si>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</si>
  <si>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</si>
  <si>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</si>
  <si>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</si>
  <si>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</si>
  <si>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</si>
  <si>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</si>
  <si>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</si>
  <si>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</si>
  <si>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</si>
  <si>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</si>
  <si>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</si>
  <si>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</si>
  <si>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</si>
  <si>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</si>
  <si>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</si>
  <si>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</si>
  <si>
    <t>여</t>
    <phoneticPr fontId="1" type="noConversion"/>
  </si>
  <si>
    <t>&gt;=90</t>
    <phoneticPr fontId="1" type="noConversion"/>
  </si>
  <si>
    <t>국어</t>
    <phoneticPr fontId="1" type="noConversion"/>
  </si>
  <si>
    <t>&lt;원본데이터&gt;</t>
    <phoneticPr fontId="1" type="noConversion"/>
  </si>
  <si>
    <t>남</t>
  </si>
  <si>
    <t>성별</t>
    <phoneticPr fontId="1" type="noConversion"/>
  </si>
  <si>
    <t>평균</t>
    <phoneticPr fontId="1" type="noConversion"/>
  </si>
  <si>
    <t>남</t>
    <phoneticPr fontId="1" type="noConversion"/>
  </si>
  <si>
    <t>&gt;=80</t>
    <phoneticPr fontId="1" type="noConversion"/>
  </si>
  <si>
    <t>&gt;=70</t>
    <phoneticPr fontId="1" type="noConversion"/>
  </si>
  <si>
    <t>이하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</si>
</sst>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129540</xdr:colOff>
          <xdr:row>5</xdr:row>
          <xdr:rowOff>213360</xdr:rowOff>
        </xdr:from>
        <xdr:to>
          <xdr:col>13</xdr:col>
          <xdr:colOff>594360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6</xdr:row>
          <xdr:rowOff>68580</xdr:rowOff>
        </xdr:from>
        <xdr:to>
          <xdr:col>13</xdr:col>
          <xdr:colOff>594360</xdr:colOff>
          <xdr:row>11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이고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70 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6</xdr:row>
          <xdr:rowOff>68580</xdr:rowOff>
        </xdr:from>
        <xdr:to>
          <xdr:col>13</xdr:col>
          <xdr:colOff>594360</xdr:colOff>
          <xdr:row>11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이거나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90 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6</xdr:row>
          <xdr:rowOff>68580</xdr:rowOff>
        </xdr:from>
        <xdr:to>
          <xdr:col>13</xdr:col>
          <xdr:colOff>594360</xdr:colOff>
          <xdr:row>12</xdr:row>
          <xdr:rowOff>22860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이면서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70이상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이거나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국어 90 이상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5</xdr:row>
          <xdr:rowOff>45720</xdr:rowOff>
        </xdr:from>
        <xdr:to>
          <xdr:col>13</xdr:col>
          <xdr:colOff>0</xdr:colOff>
          <xdr:row>7</xdr:row>
          <xdr:rowOff>7620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필터실행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U26"/>
  <sheetViews>
    <sheetView showGridLines="0" topLeftCell="E1" zoomScale="85" zoomScaleNormal="85" workbookViewId="0">
      <selection activeCell="Y11" sqref="Y11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2" spans="6:21" x14ac:dyDescent="0.4">
      <c r="O2" s="1" t="s">
        <v>1</v>
      </c>
    </row>
    <row r="3" spans="6:21" x14ac:dyDescent="0.4">
      <c r="O3" s="5" t="s">
        <v>19</v>
      </c>
    </row>
    <row r="5" spans="6:21" x14ac:dyDescent="0.4">
      <c r="N5" s="4"/>
      <c r="O5" s="4"/>
      <c r="P5" s="4"/>
      <c r="Q5" s="4"/>
      <c r="R5" s="4"/>
      <c r="S5" s="4"/>
      <c r="T5" s="4"/>
      <c r="U5" s="4"/>
    </row>
    <row r="6" spans="6:21" x14ac:dyDescent="0.4">
      <c r="F6" s="8" t="s">
        <v>0</v>
      </c>
      <c r="G6" s="1" t="s">
        <v>30</v>
      </c>
      <c r="H6" s="8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3</v>
      </c>
      <c r="S6" s="1" t="s">
        <v>4</v>
      </c>
      <c r="T6" s="1" t="s">
        <v>21</v>
      </c>
      <c r="U6" s="1" t="s">
        <v>5</v>
      </c>
    </row>
    <row r="7" spans="6:21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7</v>
      </c>
      <c r="P7" s="2" t="s">
        <v>19</v>
      </c>
      <c r="Q7" s="2">
        <v>55</v>
      </c>
      <c r="R7" s="2">
        <v>95</v>
      </c>
      <c r="S7" s="2">
        <v>70</v>
      </c>
      <c r="T7" s="2">
        <v>220</v>
      </c>
      <c r="U7" s="3">
        <v>73.333333333333329</v>
      </c>
    </row>
    <row r="8" spans="6:21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8</v>
      </c>
      <c r="P8" s="2" t="s">
        <v>19</v>
      </c>
      <c r="Q8" s="2">
        <v>70</v>
      </c>
      <c r="R8" s="2">
        <v>70</v>
      </c>
      <c r="S8" s="2">
        <v>100</v>
      </c>
      <c r="T8" s="2">
        <v>240</v>
      </c>
      <c r="U8" s="3">
        <v>80</v>
      </c>
    </row>
    <row r="9" spans="6:21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12</v>
      </c>
      <c r="P9" s="2" t="s">
        <v>19</v>
      </c>
      <c r="Q9" s="2">
        <v>95</v>
      </c>
      <c r="R9" s="2">
        <v>55</v>
      </c>
      <c r="S9" s="2">
        <v>55</v>
      </c>
      <c r="T9" s="2">
        <v>205</v>
      </c>
      <c r="U9" s="3">
        <v>68.333333333333329</v>
      </c>
    </row>
    <row r="10" spans="6:21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6">
        <f t="shared" si="1"/>
        <v>78.333333333333329</v>
      </c>
      <c r="N10" s="4"/>
      <c r="O10" s="2" t="s">
        <v>16</v>
      </c>
      <c r="P10" s="2" t="s">
        <v>19</v>
      </c>
      <c r="Q10" s="2">
        <v>95</v>
      </c>
      <c r="R10" s="2">
        <v>65</v>
      </c>
      <c r="S10" s="2">
        <v>55</v>
      </c>
      <c r="T10" s="2">
        <v>215</v>
      </c>
      <c r="U10" s="3">
        <v>71.666666666666671</v>
      </c>
    </row>
    <row r="11" spans="6:21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7"/>
      <c r="O11" s="2" t="s">
        <v>23</v>
      </c>
      <c r="P11" s="2" t="s">
        <v>19</v>
      </c>
      <c r="Q11" s="2">
        <v>55</v>
      </c>
      <c r="R11" s="2">
        <v>95</v>
      </c>
      <c r="S11" s="2">
        <v>70</v>
      </c>
      <c r="T11" s="2">
        <v>220</v>
      </c>
      <c r="U11" s="3">
        <v>73.333333333333329</v>
      </c>
    </row>
    <row r="12" spans="6:21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2" t="s">
        <v>24</v>
      </c>
      <c r="P12" s="2" t="s">
        <v>19</v>
      </c>
      <c r="Q12" s="2">
        <v>70</v>
      </c>
      <c r="R12" s="2">
        <v>70</v>
      </c>
      <c r="S12" s="2">
        <v>100</v>
      </c>
      <c r="T12" s="2">
        <v>240</v>
      </c>
      <c r="U12" s="3">
        <v>80</v>
      </c>
    </row>
    <row r="13" spans="6:21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2" t="s">
        <v>28</v>
      </c>
      <c r="P13" s="2" t="s">
        <v>19</v>
      </c>
      <c r="Q13" s="2">
        <v>95</v>
      </c>
      <c r="R13" s="2">
        <v>55</v>
      </c>
      <c r="S13" s="2">
        <v>55</v>
      </c>
      <c r="T13" s="2">
        <v>205</v>
      </c>
      <c r="U13" s="3">
        <v>68.333333333333329</v>
      </c>
    </row>
    <row r="14" spans="6:21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21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21" x14ac:dyDescent="0.4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14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4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4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4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</row>
    <row r="21" spans="6:14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</row>
    <row r="22" spans="6:14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</row>
    <row r="23" spans="6:14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4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4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4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_Test01">
                <anchor>
                  <from>
                    <xdr:col>12</xdr:col>
                    <xdr:colOff>129540</xdr:colOff>
                    <xdr:row>5</xdr:row>
                    <xdr:rowOff>213360</xdr:rowOff>
                  </from>
                  <to>
                    <xdr:col>13</xdr:col>
                    <xdr:colOff>594360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Q26"/>
  <sheetViews>
    <sheetView showGridLines="0" topLeftCell="E1" zoomScale="85" zoomScaleNormal="85" workbookViewId="0">
      <selection activeCell="R23" sqref="R23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2" spans="6:17" x14ac:dyDescent="0.4">
      <c r="O2" s="1" t="s">
        <v>1</v>
      </c>
      <c r="P2" s="1" t="s">
        <v>5</v>
      </c>
    </row>
    <row r="3" spans="6:17" x14ac:dyDescent="0.4">
      <c r="O3" s="5" t="s">
        <v>38</v>
      </c>
      <c r="P3" s="5" t="s">
        <v>40</v>
      </c>
    </row>
    <row r="5" spans="6:17" x14ac:dyDescent="0.4">
      <c r="N5" s="4"/>
      <c r="O5" s="4"/>
      <c r="P5" s="4"/>
      <c r="Q5" s="4"/>
    </row>
    <row r="6" spans="6:17" x14ac:dyDescent="0.4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5</v>
      </c>
    </row>
    <row r="7" spans="6:17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6</v>
      </c>
      <c r="P7" s="2" t="s">
        <v>18</v>
      </c>
      <c r="Q7" s="3">
        <v>71.666666666666671</v>
      </c>
    </row>
    <row r="8" spans="6:17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9</v>
      </c>
      <c r="P8" s="2" t="s">
        <v>18</v>
      </c>
      <c r="Q8" s="3">
        <v>78.333333333333329</v>
      </c>
    </row>
    <row r="9" spans="6:17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10</v>
      </c>
      <c r="P9" s="2" t="s">
        <v>18</v>
      </c>
      <c r="Q9" s="3">
        <v>80</v>
      </c>
    </row>
    <row r="10" spans="6:17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2" t="s">
        <v>13</v>
      </c>
      <c r="P10" s="2" t="s">
        <v>18</v>
      </c>
      <c r="Q10" s="3">
        <v>71.666666666666671</v>
      </c>
    </row>
    <row r="11" spans="6:17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2" t="s">
        <v>17</v>
      </c>
      <c r="P11" s="2" t="s">
        <v>18</v>
      </c>
      <c r="Q11" s="3">
        <v>90</v>
      </c>
    </row>
    <row r="12" spans="6:17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2" t="s">
        <v>22</v>
      </c>
      <c r="P12" s="2" t="s">
        <v>18</v>
      </c>
      <c r="Q12" s="3">
        <v>71.666666666666671</v>
      </c>
    </row>
    <row r="13" spans="6:17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2" t="s">
        <v>25</v>
      </c>
      <c r="P13" s="2" t="s">
        <v>18</v>
      </c>
      <c r="Q13" s="3">
        <v>78.333333333333329</v>
      </c>
    </row>
    <row r="14" spans="6:17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O14" s="2" t="s">
        <v>26</v>
      </c>
      <c r="P14" s="2" t="s">
        <v>18</v>
      </c>
      <c r="Q14" s="3">
        <v>80</v>
      </c>
    </row>
    <row r="15" spans="6:17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O15" s="2" t="s">
        <v>29</v>
      </c>
      <c r="P15" s="2" t="s">
        <v>18</v>
      </c>
      <c r="Q15" s="3">
        <v>71.666666666666671</v>
      </c>
    </row>
    <row r="16" spans="6:17" x14ac:dyDescent="0.4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17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7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7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7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</row>
    <row r="21" spans="6:17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</row>
    <row r="22" spans="6:17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</row>
    <row r="23" spans="6:17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7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7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7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odule2.Filter_Test01">
                <anchor moveWithCells="1" sizeWithCells="1">
                  <from>
                    <xdr:col>12</xdr:col>
                    <xdr:colOff>129540</xdr:colOff>
                    <xdr:row>6</xdr:row>
                    <xdr:rowOff>68580</xdr:rowOff>
                  </from>
                  <to>
                    <xdr:col>13</xdr:col>
                    <xdr:colOff>594360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Q26"/>
  <sheetViews>
    <sheetView showGridLines="0" topLeftCell="E1" zoomScale="85" zoomScaleNormal="85" workbookViewId="0">
      <selection activeCell="T13" sqref="T13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2" spans="6:17" x14ac:dyDescent="0.4">
      <c r="O2" s="1" t="s">
        <v>1</v>
      </c>
      <c r="P2" s="1" t="s">
        <v>5</v>
      </c>
    </row>
    <row r="3" spans="6:17" x14ac:dyDescent="0.4">
      <c r="O3" s="5" t="s">
        <v>31</v>
      </c>
      <c r="P3" s="5" t="s">
        <v>39</v>
      </c>
    </row>
    <row r="4" spans="6:17" x14ac:dyDescent="0.4">
      <c r="O4" s="5" t="s">
        <v>18</v>
      </c>
      <c r="P4" s="5" t="s">
        <v>39</v>
      </c>
    </row>
    <row r="5" spans="6:17" x14ac:dyDescent="0.4">
      <c r="N5" s="4"/>
      <c r="O5" s="4"/>
      <c r="P5" s="4"/>
      <c r="Q5" s="4"/>
    </row>
    <row r="6" spans="6:17" x14ac:dyDescent="0.4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5</v>
      </c>
    </row>
    <row r="7" spans="6:17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8</v>
      </c>
      <c r="P7" s="2" t="s">
        <v>19</v>
      </c>
      <c r="Q7" s="3">
        <v>80</v>
      </c>
    </row>
    <row r="8" spans="6:17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10</v>
      </c>
      <c r="P8" s="2" t="s">
        <v>18</v>
      </c>
      <c r="Q8" s="3">
        <v>80</v>
      </c>
    </row>
    <row r="9" spans="6:17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17</v>
      </c>
      <c r="P9" s="2" t="s">
        <v>18</v>
      </c>
      <c r="Q9" s="3">
        <v>90</v>
      </c>
    </row>
    <row r="10" spans="6:17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2" t="s">
        <v>24</v>
      </c>
      <c r="P10" s="2" t="s">
        <v>19</v>
      </c>
      <c r="Q10" s="3">
        <v>80</v>
      </c>
    </row>
    <row r="11" spans="6:17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2" t="s">
        <v>26</v>
      </c>
      <c r="P11" s="2" t="s">
        <v>18</v>
      </c>
      <c r="Q11" s="3">
        <v>80</v>
      </c>
    </row>
    <row r="12" spans="6:17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17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17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17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17" x14ac:dyDescent="0.4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14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4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4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4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</row>
    <row r="21" spans="6:14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</row>
    <row r="22" spans="6:14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</row>
    <row r="23" spans="6:14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4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4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4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odule3.Filter_Test01">
                <anchor moveWithCells="1" sizeWithCells="1">
                  <from>
                    <xdr:col>12</xdr:col>
                    <xdr:colOff>129540</xdr:colOff>
                    <xdr:row>6</xdr:row>
                    <xdr:rowOff>68580</xdr:rowOff>
                  </from>
                  <to>
                    <xdr:col>13</xdr:col>
                    <xdr:colOff>594360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26"/>
  <sheetViews>
    <sheetView showGridLines="0" topLeftCell="E1" zoomScale="85" zoomScaleNormal="85" workbookViewId="0">
      <selection activeCell="U7" sqref="U7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1" spans="6:18" x14ac:dyDescent="0.4">
      <c r="O1" s="1" t="s">
        <v>1</v>
      </c>
      <c r="P1" s="1" t="s">
        <v>5</v>
      </c>
      <c r="Q1" s="1" t="s">
        <v>33</v>
      </c>
    </row>
    <row r="2" spans="6:18" x14ac:dyDescent="0.4">
      <c r="O2" s="5" t="s">
        <v>19</v>
      </c>
      <c r="P2" s="5" t="s">
        <v>39</v>
      </c>
      <c r="Q2" s="5"/>
    </row>
    <row r="3" spans="6:18" x14ac:dyDescent="0.4">
      <c r="O3" s="5"/>
      <c r="P3" s="5"/>
      <c r="Q3" s="5" t="s">
        <v>32</v>
      </c>
    </row>
    <row r="5" spans="6:18" x14ac:dyDescent="0.4">
      <c r="N5" s="4"/>
      <c r="O5" s="4"/>
      <c r="P5" s="4"/>
      <c r="Q5" s="4"/>
      <c r="R5" s="4"/>
    </row>
    <row r="6" spans="6:18" x14ac:dyDescent="0.4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5</v>
      </c>
    </row>
    <row r="7" spans="6:18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6</v>
      </c>
      <c r="P7" s="2" t="s">
        <v>18</v>
      </c>
      <c r="Q7" s="2">
        <v>90</v>
      </c>
      <c r="R7" s="3">
        <v>71.666666666666671</v>
      </c>
    </row>
    <row r="8" spans="6:18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8</v>
      </c>
      <c r="P8" s="2" t="s">
        <v>19</v>
      </c>
      <c r="Q8" s="2">
        <v>70</v>
      </c>
      <c r="R8" s="3">
        <v>80</v>
      </c>
    </row>
    <row r="9" spans="6:18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11</v>
      </c>
      <c r="P9" s="2" t="s">
        <v>18</v>
      </c>
      <c r="Q9" s="2">
        <v>95</v>
      </c>
      <c r="R9" s="3">
        <v>65</v>
      </c>
    </row>
    <row r="10" spans="6:18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2" t="s">
        <v>12</v>
      </c>
      <c r="P10" s="2" t="s">
        <v>19</v>
      </c>
      <c r="Q10" s="2">
        <v>95</v>
      </c>
      <c r="R10" s="3">
        <v>68.333333333333329</v>
      </c>
    </row>
    <row r="11" spans="6:18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2" t="s">
        <v>16</v>
      </c>
      <c r="P11" s="2" t="s">
        <v>19</v>
      </c>
      <c r="Q11" s="2">
        <v>95</v>
      </c>
      <c r="R11" s="3">
        <v>71.666666666666671</v>
      </c>
    </row>
    <row r="12" spans="6:18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O12" s="2" t="s">
        <v>17</v>
      </c>
      <c r="P12" s="2" t="s">
        <v>18</v>
      </c>
      <c r="Q12" s="2">
        <v>90</v>
      </c>
      <c r="R12" s="3">
        <v>90</v>
      </c>
    </row>
    <row r="13" spans="6:18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  <c r="O13" s="2" t="s">
        <v>22</v>
      </c>
      <c r="P13" s="2" t="s">
        <v>18</v>
      </c>
      <c r="Q13" s="2">
        <v>90</v>
      </c>
      <c r="R13" s="3">
        <v>71.666666666666671</v>
      </c>
    </row>
    <row r="14" spans="6:18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O14" s="2" t="s">
        <v>24</v>
      </c>
      <c r="P14" s="2" t="s">
        <v>19</v>
      </c>
      <c r="Q14" s="2">
        <v>70</v>
      </c>
      <c r="R14" s="3">
        <v>80</v>
      </c>
    </row>
    <row r="15" spans="6:18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O15" s="2" t="s">
        <v>27</v>
      </c>
      <c r="P15" s="2" t="s">
        <v>18</v>
      </c>
      <c r="Q15" s="2">
        <v>95</v>
      </c>
      <c r="R15" s="3">
        <v>65</v>
      </c>
    </row>
    <row r="16" spans="6:18" x14ac:dyDescent="0.4">
      <c r="F16" s="2" t="s">
        <v>15</v>
      </c>
      <c r="G16" s="2" t="s">
        <v>18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O16" s="2" t="s">
        <v>28</v>
      </c>
      <c r="P16" s="2" t="s">
        <v>19</v>
      </c>
      <c r="Q16" s="2">
        <v>95</v>
      </c>
      <c r="R16" s="3">
        <v>68.333333333333329</v>
      </c>
    </row>
    <row r="17" spans="6:14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14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14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14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</row>
    <row r="21" spans="6:14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</row>
    <row r="22" spans="6:14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</row>
    <row r="23" spans="6:14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14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14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14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ule4.Filter_Test01">
                <anchor moveWithCells="1" sizeWithCells="1">
                  <from>
                    <xdr:col>12</xdr:col>
                    <xdr:colOff>129540</xdr:colOff>
                    <xdr:row>6</xdr:row>
                    <xdr:rowOff>68580</xdr:rowOff>
                  </from>
                  <to>
                    <xdr:col>13</xdr:col>
                    <xdr:colOff>594360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G2:K28"/>
  <sheetViews>
    <sheetView showGridLines="0" tabSelected="1" topLeftCell="E1" zoomScale="85" zoomScaleNormal="85" workbookViewId="0">
      <selection activeCell="Q10" sqref="Q10"/>
    </sheetView>
  </sheetViews>
  <sheetFormatPr defaultRowHeight="17.399999999999999" x14ac:dyDescent="0.4"/>
  <cols>
    <col min="1" max="4" width="0" hidden="1" customWidth="1"/>
  </cols>
  <sheetData>
    <row r="2" spans="7:11" hidden="1" x14ac:dyDescent="0.4"/>
    <row r="3" spans="7:11" hidden="1" x14ac:dyDescent="0.4"/>
    <row r="4" spans="7:11" hidden="1" x14ac:dyDescent="0.4"/>
    <row r="5" spans="7:11" hidden="1" x14ac:dyDescent="0.4"/>
    <row r="6" spans="7:11" x14ac:dyDescent="0.4">
      <c r="G6" s="1" t="s">
        <v>1</v>
      </c>
      <c r="H6" s="5" t="s">
        <v>35</v>
      </c>
      <c r="I6" s="1" t="s">
        <v>5</v>
      </c>
      <c r="J6" s="5">
        <v>80</v>
      </c>
      <c r="K6" s="5" t="s">
        <v>41</v>
      </c>
    </row>
    <row r="8" spans="7:11" x14ac:dyDescent="0.4">
      <c r="H8" s="1" t="s">
        <v>0</v>
      </c>
      <c r="I8" s="1" t="s">
        <v>1</v>
      </c>
      <c r="J8" s="1" t="s">
        <v>21</v>
      </c>
      <c r="K8" s="1" t="s">
        <v>5</v>
      </c>
    </row>
    <row r="9" spans="7:11" x14ac:dyDescent="0.4">
      <c r="H9" s="5" t="s">
        <v>6</v>
      </c>
      <c r="I9" s="5" t="s">
        <v>18</v>
      </c>
      <c r="J9" s="5">
        <v>215</v>
      </c>
      <c r="K9" s="9">
        <v>71.666666666666671</v>
      </c>
    </row>
    <row r="10" spans="7:11" x14ac:dyDescent="0.4">
      <c r="H10" s="5" t="s">
        <v>7</v>
      </c>
      <c r="I10" s="5" t="s">
        <v>19</v>
      </c>
      <c r="J10" s="5">
        <v>220</v>
      </c>
      <c r="K10" s="9">
        <v>73.333333333333329</v>
      </c>
    </row>
    <row r="11" spans="7:11" x14ac:dyDescent="0.4">
      <c r="H11" s="5" t="s">
        <v>8</v>
      </c>
      <c r="I11" s="5" t="s">
        <v>19</v>
      </c>
      <c r="J11" s="5">
        <v>240</v>
      </c>
      <c r="K11" s="9">
        <v>80</v>
      </c>
    </row>
    <row r="12" spans="7:11" x14ac:dyDescent="0.4">
      <c r="H12" s="5" t="s">
        <v>9</v>
      </c>
      <c r="I12" s="5" t="s">
        <v>18</v>
      </c>
      <c r="J12" s="5">
        <v>235</v>
      </c>
      <c r="K12" s="9">
        <v>78.333333333333329</v>
      </c>
    </row>
    <row r="13" spans="7:11" x14ac:dyDescent="0.4">
      <c r="H13" s="5" t="s">
        <v>10</v>
      </c>
      <c r="I13" s="5" t="s">
        <v>18</v>
      </c>
      <c r="J13" s="5">
        <v>240</v>
      </c>
      <c r="K13" s="9">
        <v>80</v>
      </c>
    </row>
    <row r="14" spans="7:11" x14ac:dyDescent="0.4">
      <c r="H14" s="5" t="s">
        <v>11</v>
      </c>
      <c r="I14" s="5" t="s">
        <v>18</v>
      </c>
      <c r="J14" s="5">
        <v>195</v>
      </c>
      <c r="K14" s="9">
        <v>65</v>
      </c>
    </row>
    <row r="15" spans="7:11" x14ac:dyDescent="0.4">
      <c r="H15" s="5" t="s">
        <v>12</v>
      </c>
      <c r="I15" s="5" t="s">
        <v>19</v>
      </c>
      <c r="J15" s="5">
        <v>205</v>
      </c>
      <c r="K15" s="9">
        <v>68.333333333333329</v>
      </c>
    </row>
    <row r="16" spans="7:11" x14ac:dyDescent="0.4">
      <c r="H16" s="5" t="s">
        <v>13</v>
      </c>
      <c r="I16" s="5" t="s">
        <v>18</v>
      </c>
      <c r="J16" s="5">
        <v>215</v>
      </c>
      <c r="K16" s="9">
        <v>71.666666666666671</v>
      </c>
    </row>
    <row r="17" spans="8:11" x14ac:dyDescent="0.4">
      <c r="H17" s="5" t="s">
        <v>14</v>
      </c>
      <c r="I17" s="5" t="s">
        <v>18</v>
      </c>
      <c r="J17" s="5">
        <v>175</v>
      </c>
      <c r="K17" s="9">
        <v>58.333333333333336</v>
      </c>
    </row>
    <row r="18" spans="8:11" x14ac:dyDescent="0.4">
      <c r="H18" s="5" t="s">
        <v>15</v>
      </c>
      <c r="I18" s="5" t="s">
        <v>18</v>
      </c>
      <c r="J18" s="5">
        <v>190</v>
      </c>
      <c r="K18" s="9">
        <v>63.333333333333336</v>
      </c>
    </row>
    <row r="19" spans="8:11" x14ac:dyDescent="0.4">
      <c r="H19" s="5" t="s">
        <v>16</v>
      </c>
      <c r="I19" s="5" t="s">
        <v>19</v>
      </c>
      <c r="J19" s="5">
        <v>215</v>
      </c>
      <c r="K19" s="9">
        <v>71.666666666666671</v>
      </c>
    </row>
    <row r="20" spans="8:11" x14ac:dyDescent="0.4">
      <c r="H20" s="5" t="s">
        <v>17</v>
      </c>
      <c r="I20" s="5" t="s">
        <v>18</v>
      </c>
      <c r="J20" s="5">
        <v>270</v>
      </c>
      <c r="K20" s="9">
        <v>90</v>
      </c>
    </row>
    <row r="21" spans="8:11" x14ac:dyDescent="0.4">
      <c r="H21" s="5" t="s">
        <v>22</v>
      </c>
      <c r="I21" s="5" t="s">
        <v>18</v>
      </c>
      <c r="J21" s="5">
        <v>215</v>
      </c>
      <c r="K21" s="9">
        <v>71.666666666666671</v>
      </c>
    </row>
    <row r="22" spans="8:11" x14ac:dyDescent="0.4">
      <c r="H22" s="5" t="s">
        <v>23</v>
      </c>
      <c r="I22" s="5" t="s">
        <v>19</v>
      </c>
      <c r="J22" s="5">
        <v>220</v>
      </c>
      <c r="K22" s="9">
        <v>73.333333333333329</v>
      </c>
    </row>
    <row r="23" spans="8:11" x14ac:dyDescent="0.4">
      <c r="H23" s="5" t="s">
        <v>24</v>
      </c>
      <c r="I23" s="5" t="s">
        <v>19</v>
      </c>
      <c r="J23" s="5">
        <v>240</v>
      </c>
      <c r="K23" s="9">
        <v>80</v>
      </c>
    </row>
    <row r="24" spans="8:11" x14ac:dyDescent="0.4">
      <c r="H24" s="5" t="s">
        <v>25</v>
      </c>
      <c r="I24" s="5" t="s">
        <v>18</v>
      </c>
      <c r="J24" s="5">
        <v>235</v>
      </c>
      <c r="K24" s="9">
        <v>78.333333333333329</v>
      </c>
    </row>
    <row r="25" spans="8:11" x14ac:dyDescent="0.4">
      <c r="H25" s="5" t="s">
        <v>26</v>
      </c>
      <c r="I25" s="5" t="s">
        <v>18</v>
      </c>
      <c r="J25" s="5">
        <v>240</v>
      </c>
      <c r="K25" s="9">
        <v>80</v>
      </c>
    </row>
    <row r="26" spans="8:11" x14ac:dyDescent="0.4">
      <c r="H26" s="5" t="s">
        <v>27</v>
      </c>
      <c r="I26" s="5" t="s">
        <v>18</v>
      </c>
      <c r="J26" s="5">
        <v>195</v>
      </c>
      <c r="K26" s="9">
        <v>65</v>
      </c>
    </row>
    <row r="27" spans="8:11" x14ac:dyDescent="0.4">
      <c r="H27" s="5" t="s">
        <v>28</v>
      </c>
      <c r="I27" s="5" t="s">
        <v>19</v>
      </c>
      <c r="J27" s="5">
        <v>205</v>
      </c>
      <c r="K27" s="9">
        <v>68.333333333333329</v>
      </c>
    </row>
    <row r="28" spans="8:11" x14ac:dyDescent="0.4">
      <c r="H28" s="5" t="s">
        <v>29</v>
      </c>
      <c r="I28" s="5" t="s">
        <v>18</v>
      </c>
      <c r="J28" s="5">
        <v>215</v>
      </c>
      <c r="K28" s="9">
        <v>71.666666666666671</v>
      </c>
    </row>
  </sheetData>
  <phoneticPr fontId="1" type="noConversion"/>
  <dataValidations count="2">
    <dataValidation type="list" allowBlank="1" showInputMessage="1" showErrorMessage="1" sqref="K6" xr:uid="{00000000-0002-0000-0400-000000000000}">
      <formula1>"이상,이하"</formula1>
    </dataValidation>
    <dataValidation type="list" allowBlank="1" showInputMessage="1" showErrorMessage="1" sqref="H6" xr:uid="{00000000-0002-0000-0400-000001000000}">
      <formula1>"남,여"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Module6.Filter_Test01">
                <anchor moveWithCells="1" sizeWithCells="1">
                  <from>
                    <xdr:col>11</xdr:col>
                    <xdr:colOff>182880</xdr:colOff>
                    <xdr:row>5</xdr:row>
                    <xdr:rowOff>45720</xdr:rowOff>
                  </from>
                  <to>
                    <xdr:col>13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F1:R26"/>
  <sheetViews>
    <sheetView showGridLines="0" topLeftCell="E3" zoomScale="85" zoomScaleNormal="85" workbookViewId="0">
      <selection activeCell="M29" sqref="M29"/>
    </sheetView>
  </sheetViews>
  <sheetFormatPr defaultRowHeight="17.399999999999999" x14ac:dyDescent="0.4"/>
  <cols>
    <col min="1" max="4" width="0" hidden="1" customWidth="1"/>
  </cols>
  <sheetData>
    <row r="1" spans="6:18" hidden="1" x14ac:dyDescent="0.4"/>
    <row r="2" spans="6:18" hidden="1" x14ac:dyDescent="0.4"/>
    <row r="3" spans="6:18" x14ac:dyDescent="0.4">
      <c r="O3" s="1" t="s">
        <v>36</v>
      </c>
      <c r="P3" s="1" t="s">
        <v>37</v>
      </c>
    </row>
    <row r="4" spans="6:18" x14ac:dyDescent="0.4">
      <c r="F4" t="s">
        <v>34</v>
      </c>
      <c r="O4" s="5" t="str">
        <f>'필터데이터(과제물)'!$H$6</f>
        <v>남</v>
      </c>
      <c r="P4" s="5" t="str">
        <f>IF('필터데이터(과제물)'!$K$6="이상","&gt;=","&lt;=") &amp; '필터데이터(과제물)'!$J$6</f>
        <v>&lt;=80</v>
      </c>
    </row>
    <row r="6" spans="6:18" x14ac:dyDescent="0.4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O6" s="1" t="s">
        <v>0</v>
      </c>
      <c r="P6" s="1" t="s">
        <v>1</v>
      </c>
      <c r="Q6" s="1" t="s">
        <v>21</v>
      </c>
      <c r="R6" s="1" t="s">
        <v>5</v>
      </c>
    </row>
    <row r="7" spans="6:18" x14ac:dyDescent="0.4">
      <c r="F7" s="5" t="s">
        <v>6</v>
      </c>
      <c r="G7" s="5" t="s">
        <v>18</v>
      </c>
      <c r="H7" s="5">
        <v>90</v>
      </c>
      <c r="I7" s="5">
        <v>65</v>
      </c>
      <c r="J7" s="5">
        <v>60</v>
      </c>
      <c r="K7" s="5">
        <f>SUM(H7:J7)</f>
        <v>215</v>
      </c>
      <c r="L7" s="9">
        <f>AVERAGE(H7:J7)</f>
        <v>71.666666666666671</v>
      </c>
      <c r="O7" s="5" t="s">
        <v>6</v>
      </c>
      <c r="P7" s="5" t="s">
        <v>18</v>
      </c>
      <c r="Q7" s="5">
        <v>215</v>
      </c>
      <c r="R7" s="9">
        <v>71.666666666666671</v>
      </c>
    </row>
    <row r="8" spans="6:18" x14ac:dyDescent="0.4">
      <c r="F8" s="5" t="s">
        <v>7</v>
      </c>
      <c r="G8" s="5" t="s">
        <v>19</v>
      </c>
      <c r="H8" s="5">
        <v>55</v>
      </c>
      <c r="I8" s="5">
        <v>95</v>
      </c>
      <c r="J8" s="5">
        <v>70</v>
      </c>
      <c r="K8" s="5">
        <f t="shared" ref="K8:K18" si="0">SUM(H8:J8)</f>
        <v>220</v>
      </c>
      <c r="L8" s="9">
        <f t="shared" ref="L8:L18" si="1">AVERAGE(H8:J8)</f>
        <v>73.333333333333329</v>
      </c>
      <c r="O8" s="5" t="s">
        <v>7</v>
      </c>
      <c r="P8" s="5" t="s">
        <v>19</v>
      </c>
      <c r="Q8" s="5">
        <v>220</v>
      </c>
      <c r="R8" s="9">
        <v>73.333333333333329</v>
      </c>
    </row>
    <row r="9" spans="6:18" x14ac:dyDescent="0.4">
      <c r="F9" s="5" t="s">
        <v>8</v>
      </c>
      <c r="G9" s="5" t="s">
        <v>19</v>
      </c>
      <c r="H9" s="5">
        <v>70</v>
      </c>
      <c r="I9" s="5">
        <v>70</v>
      </c>
      <c r="J9" s="5">
        <v>100</v>
      </c>
      <c r="K9" s="5">
        <f t="shared" si="0"/>
        <v>240</v>
      </c>
      <c r="L9" s="9">
        <f t="shared" si="1"/>
        <v>80</v>
      </c>
      <c r="O9" s="5" t="s">
        <v>8</v>
      </c>
      <c r="P9" s="5" t="s">
        <v>19</v>
      </c>
      <c r="Q9" s="5">
        <v>240</v>
      </c>
      <c r="R9" s="9">
        <v>80</v>
      </c>
    </row>
    <row r="10" spans="6:18" x14ac:dyDescent="0.4">
      <c r="F10" s="5" t="s">
        <v>9</v>
      </c>
      <c r="G10" s="5" t="s">
        <v>18</v>
      </c>
      <c r="H10" s="5">
        <v>65</v>
      </c>
      <c r="I10" s="5">
        <v>70</v>
      </c>
      <c r="J10" s="5">
        <v>100</v>
      </c>
      <c r="K10" s="5">
        <f t="shared" si="0"/>
        <v>235</v>
      </c>
      <c r="L10" s="9">
        <f t="shared" si="1"/>
        <v>78.333333333333329</v>
      </c>
      <c r="O10" s="5" t="s">
        <v>9</v>
      </c>
      <c r="P10" s="5" t="s">
        <v>18</v>
      </c>
      <c r="Q10" s="5">
        <v>235</v>
      </c>
      <c r="R10" s="9">
        <v>78.333333333333329</v>
      </c>
    </row>
    <row r="11" spans="6:18" x14ac:dyDescent="0.4">
      <c r="F11" s="5" t="s">
        <v>10</v>
      </c>
      <c r="G11" s="5" t="s">
        <v>18</v>
      </c>
      <c r="H11" s="5">
        <v>80</v>
      </c>
      <c r="I11" s="5">
        <v>75</v>
      </c>
      <c r="J11" s="5">
        <v>85</v>
      </c>
      <c r="K11" s="5">
        <f t="shared" si="0"/>
        <v>240</v>
      </c>
      <c r="L11" s="9">
        <f t="shared" si="1"/>
        <v>80</v>
      </c>
      <c r="O11" s="5" t="s">
        <v>10</v>
      </c>
      <c r="P11" s="5" t="s">
        <v>18</v>
      </c>
      <c r="Q11" s="5">
        <v>240</v>
      </c>
      <c r="R11" s="9">
        <v>80</v>
      </c>
    </row>
    <row r="12" spans="6:18" x14ac:dyDescent="0.4">
      <c r="F12" s="5" t="s">
        <v>11</v>
      </c>
      <c r="G12" s="5" t="s">
        <v>18</v>
      </c>
      <c r="H12" s="5">
        <v>95</v>
      </c>
      <c r="I12" s="5">
        <v>50</v>
      </c>
      <c r="J12" s="5">
        <v>50</v>
      </c>
      <c r="K12" s="5">
        <f t="shared" si="0"/>
        <v>195</v>
      </c>
      <c r="L12" s="9">
        <f t="shared" si="1"/>
        <v>65</v>
      </c>
      <c r="O12" s="5" t="s">
        <v>11</v>
      </c>
      <c r="P12" s="5" t="s">
        <v>18</v>
      </c>
      <c r="Q12" s="5">
        <v>195</v>
      </c>
      <c r="R12" s="9">
        <v>65</v>
      </c>
    </row>
    <row r="13" spans="6:18" x14ac:dyDescent="0.4">
      <c r="F13" s="5" t="s">
        <v>12</v>
      </c>
      <c r="G13" s="5" t="s">
        <v>19</v>
      </c>
      <c r="H13" s="5">
        <v>95</v>
      </c>
      <c r="I13" s="5">
        <v>55</v>
      </c>
      <c r="J13" s="5">
        <v>55</v>
      </c>
      <c r="K13" s="5">
        <f t="shared" si="0"/>
        <v>205</v>
      </c>
      <c r="L13" s="9">
        <f t="shared" si="1"/>
        <v>68.333333333333329</v>
      </c>
      <c r="O13" s="5" t="s">
        <v>12</v>
      </c>
      <c r="P13" s="5" t="s">
        <v>19</v>
      </c>
      <c r="Q13" s="5">
        <v>205</v>
      </c>
      <c r="R13" s="9">
        <v>68.333333333333329</v>
      </c>
    </row>
    <row r="14" spans="6:18" x14ac:dyDescent="0.4">
      <c r="F14" s="5" t="s">
        <v>13</v>
      </c>
      <c r="G14" s="5" t="s">
        <v>18</v>
      </c>
      <c r="H14" s="5">
        <v>85</v>
      </c>
      <c r="I14" s="5">
        <v>60</v>
      </c>
      <c r="J14" s="5">
        <v>70</v>
      </c>
      <c r="K14" s="5">
        <f t="shared" si="0"/>
        <v>215</v>
      </c>
      <c r="L14" s="9">
        <f t="shared" si="1"/>
        <v>71.666666666666671</v>
      </c>
      <c r="O14" s="5" t="s">
        <v>13</v>
      </c>
      <c r="P14" s="5" t="s">
        <v>18</v>
      </c>
      <c r="Q14" s="5">
        <v>215</v>
      </c>
      <c r="R14" s="9">
        <v>71.666666666666671</v>
      </c>
    </row>
    <row r="15" spans="6:18" x14ac:dyDescent="0.4">
      <c r="F15" s="5" t="s">
        <v>14</v>
      </c>
      <c r="G15" s="5" t="s">
        <v>18</v>
      </c>
      <c r="H15" s="5">
        <v>70</v>
      </c>
      <c r="I15" s="5">
        <v>50</v>
      </c>
      <c r="J15" s="5">
        <v>55</v>
      </c>
      <c r="K15" s="5">
        <f t="shared" si="0"/>
        <v>175</v>
      </c>
      <c r="L15" s="9">
        <f t="shared" si="1"/>
        <v>58.333333333333336</v>
      </c>
      <c r="O15" s="5" t="s">
        <v>14</v>
      </c>
      <c r="P15" s="5" t="s">
        <v>18</v>
      </c>
      <c r="Q15" s="5">
        <v>175</v>
      </c>
      <c r="R15" s="9">
        <v>58.333333333333336</v>
      </c>
    </row>
    <row r="16" spans="6:18" x14ac:dyDescent="0.4">
      <c r="F16" s="5" t="s">
        <v>15</v>
      </c>
      <c r="G16" s="5" t="s">
        <v>18</v>
      </c>
      <c r="H16" s="5">
        <v>70</v>
      </c>
      <c r="I16" s="5">
        <v>55</v>
      </c>
      <c r="J16" s="5">
        <v>65</v>
      </c>
      <c r="K16" s="5">
        <f t="shared" si="0"/>
        <v>190</v>
      </c>
      <c r="L16" s="9">
        <f t="shared" si="1"/>
        <v>63.333333333333336</v>
      </c>
      <c r="O16" s="5" t="s">
        <v>15</v>
      </c>
      <c r="P16" s="5" t="s">
        <v>18</v>
      </c>
      <c r="Q16" s="5">
        <v>190</v>
      </c>
      <c r="R16" s="9">
        <v>63.333333333333336</v>
      </c>
    </row>
    <row r="17" spans="6:18" x14ac:dyDescent="0.4">
      <c r="F17" s="5" t="s">
        <v>16</v>
      </c>
      <c r="G17" s="5" t="s">
        <v>19</v>
      </c>
      <c r="H17" s="5">
        <v>95</v>
      </c>
      <c r="I17" s="5">
        <v>65</v>
      </c>
      <c r="J17" s="5">
        <v>55</v>
      </c>
      <c r="K17" s="5">
        <f t="shared" si="0"/>
        <v>215</v>
      </c>
      <c r="L17" s="9">
        <f t="shared" si="1"/>
        <v>71.666666666666671</v>
      </c>
      <c r="O17" s="5" t="s">
        <v>16</v>
      </c>
      <c r="P17" s="5" t="s">
        <v>19</v>
      </c>
      <c r="Q17" s="5">
        <v>215</v>
      </c>
      <c r="R17" s="9">
        <v>71.666666666666671</v>
      </c>
    </row>
    <row r="18" spans="6:18" x14ac:dyDescent="0.4">
      <c r="F18" s="5" t="s">
        <v>17</v>
      </c>
      <c r="G18" s="5" t="s">
        <v>18</v>
      </c>
      <c r="H18" s="5">
        <v>90</v>
      </c>
      <c r="I18" s="5">
        <v>95</v>
      </c>
      <c r="J18" s="5">
        <v>85</v>
      </c>
      <c r="K18" s="5">
        <f t="shared" si="0"/>
        <v>270</v>
      </c>
      <c r="L18" s="9">
        <f t="shared" si="1"/>
        <v>90</v>
      </c>
      <c r="O18" s="5" t="s">
        <v>17</v>
      </c>
      <c r="P18" s="5" t="s">
        <v>18</v>
      </c>
      <c r="Q18" s="5">
        <v>270</v>
      </c>
      <c r="R18" s="9">
        <v>90</v>
      </c>
    </row>
    <row r="19" spans="6:18" x14ac:dyDescent="0.4">
      <c r="F19" s="5" t="s">
        <v>22</v>
      </c>
      <c r="G19" s="5" t="s">
        <v>18</v>
      </c>
      <c r="H19" s="5">
        <v>90</v>
      </c>
      <c r="I19" s="5">
        <v>65</v>
      </c>
      <c r="J19" s="5">
        <v>60</v>
      </c>
      <c r="K19" s="5">
        <f>SUM(H19:J19)</f>
        <v>215</v>
      </c>
      <c r="L19" s="9">
        <f>AVERAGE(H19:J19)</f>
        <v>71.666666666666671</v>
      </c>
      <c r="O19" s="5" t="s">
        <v>22</v>
      </c>
      <c r="P19" s="5" t="s">
        <v>18</v>
      </c>
      <c r="Q19" s="5">
        <v>215</v>
      </c>
      <c r="R19" s="9">
        <v>71.666666666666671</v>
      </c>
    </row>
    <row r="20" spans="6:18" x14ac:dyDescent="0.4">
      <c r="F20" s="5" t="s">
        <v>23</v>
      </c>
      <c r="G20" s="5" t="s">
        <v>19</v>
      </c>
      <c r="H20" s="5">
        <v>55</v>
      </c>
      <c r="I20" s="5">
        <v>95</v>
      </c>
      <c r="J20" s="5">
        <v>70</v>
      </c>
      <c r="K20" s="5">
        <f t="shared" ref="K20:K26" si="2">SUM(H20:J20)</f>
        <v>220</v>
      </c>
      <c r="L20" s="9">
        <f t="shared" ref="L20:L26" si="3">AVERAGE(H20:J20)</f>
        <v>73.333333333333329</v>
      </c>
      <c r="O20" s="5" t="s">
        <v>23</v>
      </c>
      <c r="P20" s="5" t="s">
        <v>19</v>
      </c>
      <c r="Q20" s="5">
        <v>220</v>
      </c>
      <c r="R20" s="9">
        <v>73.333333333333329</v>
      </c>
    </row>
    <row r="21" spans="6:18" x14ac:dyDescent="0.4">
      <c r="F21" s="5" t="s">
        <v>24</v>
      </c>
      <c r="G21" s="5" t="s">
        <v>19</v>
      </c>
      <c r="H21" s="5">
        <v>70</v>
      </c>
      <c r="I21" s="5">
        <v>70</v>
      </c>
      <c r="J21" s="5">
        <v>100</v>
      </c>
      <c r="K21" s="5">
        <f t="shared" si="2"/>
        <v>240</v>
      </c>
      <c r="L21" s="9">
        <f t="shared" si="3"/>
        <v>80</v>
      </c>
      <c r="O21" s="5" t="s">
        <v>24</v>
      </c>
      <c r="P21" s="5" t="s">
        <v>19</v>
      </c>
      <c r="Q21" s="5">
        <v>240</v>
      </c>
      <c r="R21" s="9">
        <v>80</v>
      </c>
    </row>
    <row r="22" spans="6:18" x14ac:dyDescent="0.4">
      <c r="F22" s="5" t="s">
        <v>25</v>
      </c>
      <c r="G22" s="5" t="s">
        <v>18</v>
      </c>
      <c r="H22" s="5">
        <v>65</v>
      </c>
      <c r="I22" s="5">
        <v>70</v>
      </c>
      <c r="J22" s="5">
        <v>100</v>
      </c>
      <c r="K22" s="5">
        <f t="shared" si="2"/>
        <v>235</v>
      </c>
      <c r="L22" s="9">
        <f t="shared" si="3"/>
        <v>78.333333333333329</v>
      </c>
      <c r="O22" s="5" t="s">
        <v>25</v>
      </c>
      <c r="P22" s="5" t="s">
        <v>18</v>
      </c>
      <c r="Q22" s="5">
        <v>235</v>
      </c>
      <c r="R22" s="9">
        <v>78.333333333333329</v>
      </c>
    </row>
    <row r="23" spans="6:18" x14ac:dyDescent="0.4">
      <c r="F23" s="5" t="s">
        <v>26</v>
      </c>
      <c r="G23" s="5" t="s">
        <v>18</v>
      </c>
      <c r="H23" s="5">
        <v>80</v>
      </c>
      <c r="I23" s="5">
        <v>75</v>
      </c>
      <c r="J23" s="5">
        <v>85</v>
      </c>
      <c r="K23" s="5">
        <f t="shared" si="2"/>
        <v>240</v>
      </c>
      <c r="L23" s="9">
        <f t="shared" si="3"/>
        <v>80</v>
      </c>
      <c r="O23" s="5" t="s">
        <v>26</v>
      </c>
      <c r="P23" s="5" t="s">
        <v>18</v>
      </c>
      <c r="Q23" s="5">
        <v>240</v>
      </c>
      <c r="R23" s="9">
        <v>80</v>
      </c>
    </row>
    <row r="24" spans="6:18" x14ac:dyDescent="0.4">
      <c r="F24" s="5" t="s">
        <v>27</v>
      </c>
      <c r="G24" s="5" t="s">
        <v>18</v>
      </c>
      <c r="H24" s="5">
        <v>95</v>
      </c>
      <c r="I24" s="5">
        <v>50</v>
      </c>
      <c r="J24" s="5">
        <v>50</v>
      </c>
      <c r="K24" s="5">
        <f t="shared" si="2"/>
        <v>195</v>
      </c>
      <c r="L24" s="9">
        <f t="shared" si="3"/>
        <v>65</v>
      </c>
      <c r="O24" s="5" t="s">
        <v>27</v>
      </c>
      <c r="P24" s="5" t="s">
        <v>18</v>
      </c>
      <c r="Q24" s="5">
        <v>195</v>
      </c>
      <c r="R24" s="9">
        <v>65</v>
      </c>
    </row>
    <row r="25" spans="6:18" x14ac:dyDescent="0.4">
      <c r="F25" s="5" t="s">
        <v>28</v>
      </c>
      <c r="G25" s="5" t="s">
        <v>19</v>
      </c>
      <c r="H25" s="5">
        <v>95</v>
      </c>
      <c r="I25" s="5">
        <v>55</v>
      </c>
      <c r="J25" s="5">
        <v>55</v>
      </c>
      <c r="K25" s="5">
        <f t="shared" si="2"/>
        <v>205</v>
      </c>
      <c r="L25" s="9">
        <f t="shared" si="3"/>
        <v>68.333333333333329</v>
      </c>
      <c r="O25" s="5" t="s">
        <v>28</v>
      </c>
      <c r="P25" s="5" t="s">
        <v>19</v>
      </c>
      <c r="Q25" s="5">
        <v>205</v>
      </c>
      <c r="R25" s="9">
        <v>68.333333333333329</v>
      </c>
    </row>
    <row r="26" spans="6:18" x14ac:dyDescent="0.4">
      <c r="F26" s="5" t="s">
        <v>29</v>
      </c>
      <c r="G26" s="5" t="s">
        <v>18</v>
      </c>
      <c r="H26" s="5">
        <v>85</v>
      </c>
      <c r="I26" s="5">
        <v>60</v>
      </c>
      <c r="J26" s="5">
        <v>70</v>
      </c>
      <c r="K26" s="5">
        <f t="shared" si="2"/>
        <v>215</v>
      </c>
      <c r="L26" s="9">
        <f t="shared" si="3"/>
        <v>71.666666666666671</v>
      </c>
      <c r="O26" s="5" t="s">
        <v>29</v>
      </c>
      <c r="P26" s="5" t="s">
        <v>18</v>
      </c>
      <c r="Q26" s="5">
        <v>215</v>
      </c>
      <c r="R26" s="9">
        <v>71.666666666666671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10</vt:i4>
      </vt:variant>
    </vt:vector>
  </HeadingPairs>
  <TitlesOfParts>
    <vt:vector size="16" baseType="lpstr">
      <vt:lpstr>Filter(단일조건)</vt:lpstr>
      <vt:lpstr>Filter(AND)</vt:lpstr>
      <vt:lpstr>Filter(OR)</vt:lpstr>
      <vt:lpstr>Filter(AND OR)</vt:lpstr>
      <vt:lpstr>필터데이터(과제물)</vt:lpstr>
      <vt:lpstr>원본데이터(과제물)</vt:lpstr>
      <vt:lpstr>'Filter(AND OR)'!Criteria</vt:lpstr>
      <vt:lpstr>'Filter(AND)'!Criteria</vt:lpstr>
      <vt:lpstr>'Filter(OR)'!Criteria</vt:lpstr>
      <vt:lpstr>'Filter(단일조건)'!Criteria</vt:lpstr>
      <vt:lpstr>'원본데이터(과제물)'!Criteria</vt:lpstr>
      <vt:lpstr>'Filter(AND OR)'!Extract</vt:lpstr>
      <vt:lpstr>'Filter(AND)'!Extract</vt:lpstr>
      <vt:lpstr>'Filter(OR)'!Extract</vt:lpstr>
      <vt:lpstr>'Filter(단일조건)'!Extract</vt:lpstr>
      <vt:lpstr>'원본데이터(과제물)'!Extract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2024-11-15T05:05:44Z</dcterms:modified>
</cp:coreProperties>
</file>